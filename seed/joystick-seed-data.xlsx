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issions" sheetId="2" state="visible" r:id="rId4"/>
    <sheet name="Stages" sheetId="3" state="visible" r:id="rId5"/>
    <sheet name="Role map" sheetId="4" state="visible" r:id="rId6"/>
    <sheet name="Squads" sheetId="5" state="visible" r:id="rId7"/>
    <sheet name="Quests" sheetId="6" state="visible" r:id="rId8"/>
    <sheet name="For you" sheetId="7" state="visible" r:id="rId9"/>
    <sheet name="People" sheetId="8" state="visible" r:id="rId10"/>
    <sheet name="Invites" sheetId="9" state="visible" r:id="rId11"/>
    <sheet name="Budget" sheetId="10" state="visible" r:id="rId12"/>
    <sheet name="Risks" sheetId="11" state="visible" r:id="rId13"/>
    <sheet name="Facts" sheetId="12" state="visible" r:id="rId14"/>
    <sheet name="Finished" sheetId="13" state="visible" r:id="rId15"/>
  </sheets>
  <definedNames>
    <definedName function="false" hidden="true" localSheetId="9" name="_xlnm._FilterDatabase" vbProcedure="false">Budget!$A$1:$H$191</definedName>
    <definedName function="false" hidden="true" localSheetId="11" name="_xlnm._FilterDatabase" vbProcedure="false">Facts!$A$1:$E$96</definedName>
    <definedName function="false" hidden="true" localSheetId="12" name="_xlnm._FilterDatabase" vbProcedure="false">Finished!$A$1:$M$5</definedName>
    <definedName function="false" hidden="true" localSheetId="6" name="_xlnm._FilterDatabase" vbProcedure="false">'For you'!$A$1:$J$121</definedName>
    <definedName function="false" hidden="true" localSheetId="8" name="_xlnm._FilterDatabase" vbProcedure="false">Invites!$A$1:$G$14</definedName>
    <definedName function="false" hidden="true" localSheetId="1" name="_xlnm._FilterDatabase" vbProcedure="false">Missions!$A$1:$AD$18</definedName>
    <definedName function="false" hidden="true" localSheetId="7" name="_xlnm._FilterDatabase" vbProcedure="false">People!$A$1:$S$31</definedName>
    <definedName function="false" hidden="true" localSheetId="5" name="_xlnm._FilterDatabase" vbProcedure="false">Quests!$A$1:$Z$226</definedName>
    <definedName function="false" hidden="true" localSheetId="10" name="_xlnm._FilterDatabase" vbProcedure="false">Risks!$A$1:$G$78</definedName>
    <definedName function="false" hidden="true" localSheetId="3" name="_xlnm._FilterDatabase" vbProcedure="false">'Role map'!$A$1:$L$68</definedName>
    <definedName function="false" hidden="true" localSheetId="4" name="_xlnm._FilterDatabase" vbProcedure="false">Squads!$A$1:$Y$27</definedName>
    <definedName function="false" hidden="true" localSheetId="2" name="_xlnm._FilterDatabase" vbProcedure="false">Stages!$A$1:$U$68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<sst xmlns="http://schemas.openxmlformats.org/spreadsheetml/2006/main" count="10750" uniqueCount="6012">
  <si>
    <t xml:space="preserve">Joystick seed data</t>
  </si>
  <si>
    <t xml:space="preserve">Every mission in depth: the real problem, how roles combine to solve it, every stage, every squad's plan, and quests for every role. The app loads this file (db/seed/extract_workbook.py).</t>
  </si>
  <si>
    <t xml:space="preserve">How to read it</t>
  </si>
  <si>
    <t xml:space="preserve">• Start with Missions (the why), then Role map (who does what in each stage), then Quests (the actual work).</t>
  </si>
  <si>
    <t xml:space="preserve">• For you: the open quests each role would see first. This is what personalisation looks like in the demo.</t>
  </si>
  <si>
    <t xml:space="preserve">• IDs link the tabs. Stages, Squads and Quests point to a Mission ID. Quests point to a Squad ID and a Stage #.</t>
  </si>
  <si>
    <t xml:space="preserve">• Purple columns hold the detail. Blue cells are formulas, so don't type in them. Write comments in the yellow 'Your notes' column.</t>
  </si>
  <si>
    <t xml:space="preserve">• Facts lists every real-world number we rely on, with its source and how sure we are.</t>
  </si>
  <si>
    <t xml:space="preserve">At a glance</t>
  </si>
  <si>
    <t xml:space="preserve">Live missions</t>
  </si>
  <si>
    <t xml:space="preserve">Finished missions</t>
  </si>
  <si>
    <t xml:space="preserve">Stages</t>
  </si>
  <si>
    <t xml:space="preserve">Squads</t>
  </si>
  <si>
    <t xml:space="preserve">Quests</t>
  </si>
  <si>
    <t xml:space="preserve">Open quests</t>
  </si>
  <si>
    <t xml:space="preserve">People</t>
  </si>
  <si>
    <t xml:space="preserve">Budget lines</t>
  </si>
  <si>
    <t xml:space="preserve">Risks</t>
  </si>
  <si>
    <t xml:space="preserve">Facts</t>
  </si>
  <si>
    <t xml:space="preserve">Open quests for Leaders</t>
  </si>
  <si>
    <t xml:space="preserve">Open quests for Planners</t>
  </si>
  <si>
    <t xml:space="preserve">Open quests for Experts</t>
  </si>
  <si>
    <t xml:space="preserve">Open quests for Makers</t>
  </si>
  <si>
    <t xml:space="preserve">Open quests for Checkers</t>
  </si>
  <si>
    <t xml:space="preserve">Open quests for Storytellers</t>
  </si>
  <si>
    <t xml:space="preserve">Open quests for Patrons</t>
  </si>
  <si>
    <t xml:space="preserve">Open quests for Users</t>
  </si>
  <si>
    <t xml:space="preserve">Copy rules</t>
  </si>
  <si>
    <t xml:space="preserve">• Mission titles: 6 words or fewer, a concrete promise.</t>
  </si>
  <si>
    <t xml:space="preserve">• Stage goals: something you can count.</t>
  </si>
  <si>
    <t xml:space="preserve">• Quests: verb first, under 10 words.</t>
  </si>
  <si>
    <t xml:space="preserve">• Modest, believable numbers. Never "millions".</t>
  </si>
  <si>
    <t xml:space="preserve">• No real organisations or people as players, partners or funders. Real laws, datasets and places are fine as sources.</t>
  </si>
  <si>
    <t xml:space="preserve">• India missions use ₹. Everything else uses $.</t>
  </si>
  <si>
    <t xml:space="preserve">Society ground rules</t>
  </si>
  <si>
    <t xml:space="preserve">• Never for or against a party or person. Public records only.</t>
  </si>
  <si>
    <t xml:space="preserve">• Every civic fact is checked by 2 checkers before it goes out.</t>
  </si>
  <si>
    <t xml:space="preserve">• No private people's details.</t>
  </si>
  <si>
    <t xml:space="preserve">• Every on-ground quest carries a safety note.</t>
  </si>
  <si>
    <t xml:space="preserve">Roles</t>
  </si>
  <si>
    <t xml:space="preserve">Leader · Planner · Expert · Maker · Checker · Storyteller · Patron · User (everyone is a User automatically)</t>
  </si>
  <si>
    <t xml:space="preserve">Mission ID</t>
  </si>
  <si>
    <t xml:space="preserve">Section</t>
  </si>
  <si>
    <t xml:space="preserve">Title</t>
  </si>
  <si>
    <t xml:space="preserve">One-line pitch</t>
  </si>
  <si>
    <t xml:space="preserve">State</t>
  </si>
  <si>
    <t xml:space="preserve">What a visitor learns</t>
  </si>
  <si>
    <t xml:space="preserve">Current stage</t>
  </si>
  <si>
    <t xml:space="preserve">Prize</t>
  </si>
  <si>
    <t xml:space="preserve">Currency</t>
  </si>
  <si>
    <t xml:space="preserve">Players</t>
  </si>
  <si>
    <t xml:space="preserve">Roles with open quests (of 8)</t>
  </si>
  <si>
    <t xml:space="preserve">Budget planned</t>
  </si>
  <si>
    <t xml:space="preserve">Creator</t>
  </si>
  <si>
    <t xml:space="preserve">Creator is…</t>
  </si>
  <si>
    <t xml:space="preserve">Where</t>
  </si>
  <si>
    <t xml:space="preserve">In the app today</t>
  </si>
  <si>
    <t xml:space="preserve">The problem today</t>
  </si>
  <si>
    <t xml:space="preserve">Who it helps</t>
  </si>
  <si>
    <t xml:space="preserve">Why it isn't solved yet</t>
  </si>
  <si>
    <t xml:space="preserve">What winning looks like</t>
  </si>
  <si>
    <t xml:space="preserve">Rules</t>
  </si>
  <si>
    <t xml:space="preserve">Hard parts</t>
  </si>
  <si>
    <t xml:space="preserve">Partners needed</t>
  </si>
  <si>
    <t xml:space="preserve">Data, laws &amp; tools</t>
  </si>
  <si>
    <t xml:space="preserve">Timeline</t>
  </si>
  <si>
    <t xml:space="preserve">Your notes</t>
  </si>
  <si>
    <t xml:space="preserve">glio</t>
  </si>
  <si>
    <t xml:space="preserve">Health</t>
  </si>
  <si>
    <t xml:space="preserve">Make glioblastoma survivable</t>
  </si>
  <si>
    <t xml:space="preserve">Most people with this brain tumour die within 15 months, and that has barely changed in 20 years. Find a treatment that gives them years, fully open.</t>
  </si>
  <si>
    <t xml:space="preserve">Racing</t>
  </si>
  <si>
    <t xml:space="preserve">Squads race each other with different plans</t>
  </si>
  <si>
    <t xml:space="preserve">$</t>
  </si>
  <si>
    <t xml:space="preserve">Dr. Amara Osei</t>
  </si>
  <si>
    <t xml:space="preserve">Brain tumour doctor (fictional hospital)</t>
  </si>
  <si>
    <t xml:space="preserve">Global</t>
  </si>
  <si>
    <t xml:space="preserve">Existing · rename from 'Cure Glioblastoma'</t>
  </si>
  <si>
    <t xml:space="preserve">Glioblastoma is the most common aggressive brain cancer in adults. With today's standard treatment, median survival is about 15 months, and fewer than 1 in 10 patients live 5 years. Few new drugs have reached these patients in 20 years, partly because most drugs cannot get past the barrier that protects the brain.</t>
  </si>
  <si>
    <t xml:space="preserve">People with glioblastoma and their families: about 3 new cases per 100,000 people each year, roughly 12,000–14,000 a year in the US alone and many more worldwide. It also helps researchers, who get open, re-checked data.</t>
  </si>
  <si>
    <t xml:space="preserve">It is a small market with a high failure rate, so few companies invest. Tumours vary a lot between and within patients, and lab models often don't predict results in people. Data sits in many separate datasets, and closed patents stop groups from building on each other's work.</t>
  </si>
  <si>
    <t xml:space="preserve">• A new treatment reaches its first patients in a trial
• 40 open datasets catalogued with licence and access notes
• 50 targets ranked with public evidence for each
• 10 candidates shortlisted, each with re-checked computer results and a written evidence summary
• Top 10 tested by an independent partner lab, with all results published, including failures
• A data package and pre-IND meeting request submitted through a trial sponsor</t>
  </si>
  <si>
    <t xml:space="preserve">• Everything is open: data under CC BY 4.0, code under MIT. No patents that block others.
• Only public or properly licensed data. No patient-identifiable data ever enters the game.
• Players do no lab work. All lab testing is done by trained staff at accredited partner labs.
• No medical advice to patients. The diet + drug squad shares research only, never personal plans.
• Every result counts only after two Checkers have re-run or reviewed it, and negative results are published too.</t>
  </si>
  <si>
    <t xml:space="preserve">• Reaching the brain: many drugs that work in a dish never get past the blood–brain barrier.
• Tumours differ from patient to patient, so a target that matters in one dataset may not matter in another.
• Computer predictions produce many false positives. Choosing 10 to pay lab time for is the costly decision.
• Moving from open research to a trial needs a sponsor, money and regulators, and an open game controls none of these.</t>
  </si>
  <si>
    <t xml:space="preserve">• An accredited contract lab with brain-tumour cell models (Riverside Bio, fictional)
• A cloud provider giving discounted computing time (Nimbus Compute, fictional)
• A hospital research group willing to sponsor a trial (Harbour Neuro-Oncology Unit, fictional)
• A patient advocacy group (GBM Families Circle, fictional)
• A regulatory consultancy (Clearpath Regulatory, fictional)</t>
  </si>
  <si>
    <t xml:space="preserve">• TCGA-GBM via the NCI Genomic Data Commons portal
• Chinese Glioma Genome Atlas (CGGA) public data
• DepMap public portal
• Open Targets Platform
• ChEMBL and ZINC20 public libraries
• ClinicalTrials.gov
• FAIR data principles; CC BY 4.0
• US 21 CFR Part 312 (IND rules) and FDA guidance on formal meetings</t>
  </si>
  <si>
    <t xml:space="preserve">About 3–4 years in total. The slowest steps are Stage 4 (lab booking and testing, 6–9 months) and Stage 5 (finding a sponsor and preparing the meeting request, 6–12 months).</t>
  </si>
  <si>
    <t xml:space="preserve">aid</t>
  </si>
  <si>
    <t xml:space="preserve">No one dies waiting for help</t>
  </si>
  <si>
    <t xml:space="preserve">In the minutes before an ambulance comes, the person next to you decides if you live. Help every bystander know what to do, in their own language.</t>
  </si>
  <si>
    <t xml:space="preserve">Recruiting</t>
  </si>
  <si>
    <t xml:space="preserve">There is a 15-minute quest you can do right now</t>
  </si>
  <si>
    <t xml:space="preserve">Maria Santos</t>
  </si>
  <si>
    <t xml:space="preserve">ER nurse, Manila</t>
  </si>
  <si>
    <t xml:space="preserve">New</t>
  </si>
  <si>
    <t xml:space="preserve">Most good first-aid material exists in a handful of big languages. A parent in rural Mindanao or northern Nigeria who sees a child choke or get burned often has nothing in their own language to read, and wrong home remedies (butter on burns, toothpaste, induced vomiting) are still common. Injuries kill about 4.4 million people a year, and many deaths happen before any medic arrives.</t>
  </si>
  <si>
    <t xml:space="preserve">Families, teachers, drivers and community health volunteers who speak languages with little medical content: first wave includes Tagalog, Cebuano, Hausa, Yoruba, Amharic, Bengali, Odia, Nepali, Haitian Creole and Quechua, across Asia, Africa and Latin America.</t>
  </si>
  <si>
    <t xml:space="preserve">Translating medical text well costs money and nobody earns it back from small languages. Machine translation alone is risky for medical steps, and finding a native speaker who also understands first aid is slow. Large guideline bodies update in English first, so local versions go out of date.</t>
  </si>
  <si>
    <t xml:space="preserve">• Bystanders step in and help in 100 real emergencies
• 20 guides agreed and signed off by at least 2 licensed nurses or doctors
• All 20 guides live in 50 languages (1,000 guide-language pairs)
• Every pair checked by a native speaker, and 1 in 10 back-translated to English with zero safety-changing errors
• Free offline app under 30 MB plus printable A5 cards, released under CC BY 4.0
• Each guide shows the correct local emergency number for at least 50 countries</t>
  </si>
  <si>
    <t xml:space="preserve">• Medical content only from current published resuscitation and first-aid guidelines; no home remedies, no product names.
• A machine draft never ships unchecked: a native speaker fixes it, a Checker approves it.
• Only adapt source text whose licence allows it; otherwise write fresh text. Everything we publish is CC BY 4.0.
• Every guide starts with 'Call your local emergency number' and the right number for the reader's country.
• No patient stories, photos or data of real people.</t>
  </si>
  <si>
    <t xml:space="preserve">• Some words do not exist: 'airway' or 'recovery position' may need a short phrase or a picture, and choices must be consistent across all 20 guides.
• Finding native speakers with medical sense for small languages like Quechua or Odia, and paying them fairly.
• Guidelines change (CPR updates come every few years), so 1,000 pairs must be easy to update together.
• Pictures must work across cultures and low literacy without words.
• Low-end phones may lack fonts for some scripts (Ge'ez, Odia).</t>
  </si>
  <si>
    <t xml:space="preserve">• A nurses' association that lends 2 reviewing nurses (Bayanihan Nurses Network, fictional)
• A volunteer translator community for small languages (Many Tongues Collective, fictional)
• A print shop that prints cards at cost for schools (Inkwell Print Co-op, fictional)
• A small grant fund covering translator pay (Open Care Fund, fictional)</t>
  </si>
  <si>
    <t xml:space="preserve">• IFRC International First Aid, Resuscitation and Education Guidelines 2020
• ILCOR Consensus on Science with Treatment Recommendations (CoSTR) summaries
• WHO Basic Emergency Care course materials (as reference, licence checked)
• Ethnologue / Glottolog for language codes and speaker counts
• Unicode CLDR and Google Noto fonts for scripts
• Weblate (open translation platform) with a shared glossary
• Creative Commons BY 4.0 licence</t>
  </si>
  <si>
    <t xml:space="preserve">About 9–12 months. The slowest step is Stage 3: finding and paying native-speaker checkers for the last 15 small languages.</t>
  </si>
  <si>
    <t xml:space="preserve">llm</t>
  </si>
  <si>
    <t xml:space="preserve">AI</t>
  </si>
  <si>
    <t xml:space="preserve">Every Indian can use AI in their language</t>
  </si>
  <si>
    <t xml:space="preserve">Most AI barely works in Odia, Bodo or Santali. Build a free model that does, and runs on one laptop.</t>
  </si>
  <si>
    <t xml:space="preserve">Merging</t>
  </si>
  <si>
    <t xml:space="preserve">Two plans can join forces</t>
  </si>
  <si>
    <t xml:space="preserve">₹</t>
  </si>
  <si>
    <t xml:space="preserve">Vikram Rao</t>
  </si>
  <si>
    <t xml:space="preserve">AI researcher, Bengaluru</t>
  </si>
  <si>
    <t xml:space="preserve">India</t>
  </si>
  <si>
    <t xml:space="preserve">New · replaces the CAD mission</t>
  </si>
  <si>
    <t xml:space="preserve">India's Constitution lists 22 scheduled languages, but most AI models are trained mostly on English. Their tokenizers can cut a Tamil or Odia sentence into several times more pieces than the same English sentence. That makes them slower, costlier and worse at these languages. For languages like Santali, Bodo or Dogri there is very little clean, openly licensed text, and almost no tests that show whether a model actually understands them.</t>
  </si>
  <si>
    <t xml:space="preserve">Speakers of India's 22 scheduled languages, about 1.3 billion people. The first users are teachers, small government offices, local news desks and app makers in places like Odisha, Assam and Kashmir. They need an offline model that reads and writes their language and does not send data to a foreign cloud.</t>
  </si>
  <si>
    <t xml:space="preserve">Low-resource languages earn little money, so big labs rank them last and test them least. The text that does exist is scattered across old government PDFs, legacy non-Unicode fonts and sites with unclear licences, and cleaning it takes paid native speakers, not just scripts. Open benchmarks are thin for the smallest languages, so nobody can prove progress and nobody gets credit for it.</t>
  </si>
  <si>
    <t xml:space="preserve">• 10,000 people use it every week in their own language
• 22 of 22 languages have at least 5 million clean, licence-checked words each, and the corpus totals 20 billion or more words
• The tokenizer uses no more than 1.5× as many tokens per word in any Indic language as in English, measured on the FLORES-200 sentences
• The model matches or beats open models of the same size (1–3B) in at least 15 of 22 languages on a held-out test, with all 22 scores published, including losses
• The 4-bit model runs offline at 10 or more tokens per second on an 8 GB RAM laptop with no GPU
• Weights, tokenizer, data card and licence log are released under an open licence; downloads are tracked for 90 days</t>
  </si>
  <si>
    <t xml:space="preserve">• Use only text we have the right to use: public domain, government works covered by Copyright Act 1957 Sec. 52, or openly licensed (CC-BY, CC-BY-SA, CC0). Every source gets a line in the licence log, or it is dropped.
• No personal data. Strip phone numbers, Aadhaar-like numbers, emails and names from private chats or forums, in line with the DPDP Act 2023. Do not scrape social media or private groups.
• Test questions are written and frozen before training starts, and they are kept out of the training data. A leaked test means the result does not count.
• Native speakers are paid at the same quest rate for every language. Rare-language Experts are not paid less because their text is 'small'.
• Publish losses as well as wins: every language's score goes in the model card, including the ones where we lose.</t>
  </si>
  <si>
    <t xml:space="preserve">• Data is very unequal. Hindi and Bengali have billions of words of web text. Bodo, Dogri, Santali (Ol Chiki script) and Kashmiri may have only a few million clean words, so the model can learn to ignore them.
• Messy scripts: older Hindi, Odia and Tamil sites use legacy non-Unicode fonts that look right on screen but store garbage. There are also zero-width joiners, nukta variants, and Sindhi and Kashmiri text written in two scripts.
• One tokenizer for about 12 scripts. If the vocabulary is too small, rare scripts break into single letters. If it is too large, a 1–2B model wastes its size on embeddings.
• A small model trained on 20 billion words will read, write, translate and summarise well. It will reason weakly. The tests must measure what it can really do, and the team must not oversell it.
• Fair tests: translated English benchmarks carry English culture and 'translationese'. Good tests need native-written questions for each of 22 languages, checked by a second speaker.</t>
  </si>
  <si>
    <t xml:space="preserve">• A university linguistics department that lends native-speaker checkers for rare languages (Kalinga Language Lab, fictional)
• An Indian GPU cloud that rents 64 GPUs by the hour at a research rate (Deccan Compute, fictional)
• A publisher of regional-language textbooks and novels willing to licence back-catalogue text under CC-BY (Sahitya Setu Press, fictional)
• A district education office that will pilot the laptop model in 10 schools (Koraput Learning Cell, fictional)</t>
  </si>
  <si>
    <t xml:space="preserve">• Eighth Schedule of the Constitution of India (the list of 22 languages)
• Copyright Act 1957 Sec. 52(1)(q) (reproducing Acts and court judgments is not infringement)
• Digital Personal Data Protection Act 2023
• IndicCorp v2 and Sangraha open corpora (AI4Bharat)
• Wikipedia dumps in the Indic languages; Common Crawl web snapshots
• Samanantar and BPCC parallel corpora for translation pairs
• FLORES-200 and IN22 test sets; IndicXTREME and IndicGenBench benchmarks
• IndicLID and fastText for language identification; IndicNLP Library for script normalisation
• SentencePiece (unigram/BPE tokenizer); MinHash-LSH for near-duplicate removal
• EleutherAI lm-evaluation-harness for repeatable scoring
• llama.cpp and the GGUF format for 4-bit laptop builds
• Bhashini (Government of India language platform) for checking open datasets</t>
  </si>
  <si>
    <t xml:space="preserve">About 7–9 months. Data takes 3–4 months, training 1–2 months, testing 6–8 weeks and shipping about 4 weeks. The slowest step is finding and cleaning enough licensed text for the 6–8 smallest languages, because that needs paid native speakers, not more GPUs.</t>
  </si>
  <si>
    <t xml:space="preserve">harness</t>
  </si>
  <si>
    <t xml:space="preserve">Agents you can trust with real work</t>
  </si>
  <si>
    <t xml:space="preserve">Nobody lets an agent touch real money or code unwatched. Build the open engine that makes Joystick's agents safe to trust.</t>
  </si>
  <si>
    <t xml:space="preserve">You can help build the game itself</t>
  </si>
  <si>
    <t xml:space="preserve">Kit Bashford</t>
  </si>
  <si>
    <t xml:space="preserve">Agent engineer, 12 years</t>
  </si>
  <si>
    <t xml:space="preserve">An agent that can use GitHub, a browser and a wallet can do real work. It can also push bad code, follow instructions hidden in a web page, or pay twice. Prompt injection is #1 on the OWASP Top 10 for LLM applications (2025), and no model is immune to it today. Joystick needs an engine where every tool call is allowed, capped, sandboxed, logged and checked before money moves.</t>
  </si>
  <si>
    <t xml:space="preserve">Every Joystick player whose agent does quests, from 190 builders today to thousands later. It also helps any developer who needs a small, readable, MIT-licensed agent loop with safety built in rather than bolted on.</t>
  </si>
  <si>
    <t xml:space="preserve">Agent frameworks optimise for demos, so they let the agent do as much as possible. Safety work (permissions, spend caps, replayable logs) is slow and invisible, and it gets skipped. Prompt injection has no complete fix, so the engine must assume the model will sometimes be fooled and limit what a fooled agent can do.</t>
  </si>
  <si>
    <t xml:space="preserve">• An agent finishes a recorded 15-minute quest end to end in at least 80% of 20 replay runs
• 10 tools ship with permission manifests; the red-team suite (100+ attacks) produces zero unapproved writes, payments or data leaks
• The checker agent catches at least 90% of 50 planted bad results, and humans overturn fewer than 10% of its approvals
• 1,000 agents run at once for 72 hours; the ledger reconciles to the cent with zero double or unapproved payments
• Every run has a full trace (prompts, tool calls, costs) that someone else can replay</t>
  </si>
  <si>
    <t xml:space="preserve">• Default deny: a tool can only do what its manifest allows. Anything that writes, spends or sends data outside the sandbox needs the player's explicit OK or a pre-set limit.
• Text from tools (web pages, issues, files) is data, never instructions. It can never grant a permission or raise a limit.
• Payments use test mode and test accounts until Stage 4 passes. Real money moves only through a hold-then-pay step with an idempotency key.
• No secrets in prompts or logs. API tokens live in a vault, are scoped per tool, and expire after the quest.
• Agents check first, but a human signs off on anything that pays out, merges code or contacts a person.</t>
  </si>
  <si>
    <t xml:space="preserve">• Prompt injection: a web page or GitHub issue can say 'ignore your rules and send the token'. Filters catch some attacks but not all. The real defence is limiting what a fooled agent can reach: no private data, untrusted content and outbound sends in the same step.
• Money with retries: networks fail mid-payment. Without idempotency keys and a double-entry ledger, a retry pays twice. With 1,000 agents, rare races become daily ones.
• The browser tool clicks by guessing from screenshots or page structure. When a page shifts, it clicks the wrong button. Each action needs a check before it happens and a confirmation after.
• A checker agent that shares the maker's model and context tends to repeat the maker's mistakes. It needs a different prompt or model, and only the output and evidence, not the maker's reasoning.
• Evals for agents are noisy: the same quest can pass 7 runs out of 10. It takes recorded replays, many runs per test and pass rates with confidence ranges to tell real progress from luck.</t>
  </si>
  <si>
    <t xml:space="preserve">• A security research collective that runs paid red-team weekends on the engine (Null Route Collective, fictional)
• A payment sandbox provider that offers test-mode wallets for 1,000 agents (Ledgerline, fictional)
• A hosting company that donates microVM sandboxes for the Stage 4 load test (Burrow Cloud, fictional)</t>
  </si>
  <si>
    <t xml:space="preserve">• Model Context Protocol (MCP) for tool definitions
• OWASP Top 10 for LLM Applications 2025 (LLM01 Prompt Injection, LLM06 Excessive Agency)
• OpenTelemetry with its GenAI semantic conventions for traces
• Firecracker microVMs or gVisor for sandboxing tool runs
• Playwright for the browser tool
• GitHub Apps with fine-grained, per-repo permissions
• IETF draft 'The Idempotency-Key HTTP Header Field' for safe payment retries
• Double-entry bookkeeping ledger (append-only)
• SWE-bench and τ-bench as reference designs for agent evals
• TypeScript, Node.js, MIT licence</t>
  </si>
  <si>
    <t xml:space="preserve">About 6–8 months. Loop took 6 weeks; Tools needs 8–10; Review 6–8; Scale 6–8. The slowest step is Tools: every tool needs a manifest, a sandbox, and red-team rounds until the attacks stop working.</t>
  </si>
  <si>
    <t xml:space="preserve">reef</t>
  </si>
  <si>
    <t xml:space="preserve">Planet</t>
  </si>
  <si>
    <t xml:space="preserve">Catch dying reefs in time to save them</t>
  </si>
  <si>
    <t xml:space="preserve">Reefs bleach in weeks, and most are never checked. Warn the people who look after them early enough to act.</t>
  </si>
  <si>
    <t xml:space="preserve">Stuck</t>
  </si>
  <si>
    <t xml:space="preserve">Blockers, and how you can help</t>
  </si>
  <si>
    <t xml:space="preserve">Blue Carbon Lab</t>
  </si>
  <si>
    <t xml:space="preserve">Marine charity (fictional)</t>
  </si>
  <si>
    <t xml:space="preserve">Existing</t>
  </si>
  <si>
    <t xml:space="preserve">Reefs are bleaching faster than people can survey them. NOAA confirmed the fourth global bleaching event in 2024, and an estimated 14% of the world's coral was lost between 2009 and 2018. Sea-temperature satellites warn when water is too hot, but they cannot say whether a particular reef actually bleached or died. Divers can, but they reach only a few sites a year.</t>
  </si>
  <si>
    <t xml:space="preserve">Coastal fishers, reef managers and marine-park rangers. The first focus is the central Philippines (Cebu, Bohol) and Fiji, where reefs feed and protect millions of people. A free map shows them where to look first after a heatwave.</t>
  </si>
  <si>
    <t xml:space="preserve">Satellite images that see coral detail cost money, and free 10 m images blur coral, algae and sand together. Turning images into health maps needs thousands of ground checks by divers, timed close to a cloud-free satellite pass, and dive trips are expensive. Funders pay for one-off surveys, not for the slow, boring work of keeping a map up to date every week.</t>
  </si>
  <si>
    <t xml:space="preserve">• 50 reef keepers get a weekly warning they trust
• 200 survey sites scored on site with photo-quadrats, each within 30 days of a cloud-free satellite image
• Model reaches 80% or better balanced accuracy on 3 classes (healthy / bleached / dead or algae) on 40 held-back sites
• Public map updates its heat-stress layer weekly and its reef-cover layer within 7 days of each usable image, for at least 6 months
• Every agent-made map tile shown in public has been spot-checked by a human
• At least 3 reef managers (rangers, park staff) say in writing that they used the map to choose where to survey</t>
  </si>
  <si>
    <t xml:space="preserve">• Dive safety comes first. Certified divers only, always with a buddy, no deeper than 18 m, with a local licensed operator and dive insurance. No dive in bad weather.
• Touch nothing. Surveys are photo-only, with no sampling, no anchoring on coral, and fins kept off the reef.
• Get permits and pay fees for marine protected areas, and ask local communities before surveying their fishing grounds.
• No agent-only results count until a human Checker has reviewed them.
• Open data: survey photos and scores are released under CC-BY. Exact locations of fragile or poached sites can be blurred on request from local managers.</t>
  </si>
  <si>
    <t xml:space="preserve">• Depth and water: optical satellites see the seabed only in clear, shallow water. Past about 10–15 m, or in murky water, the signal is mostly the water itself.
• Pixel size: a 10 m Sentinel-2 pixel mixes coral, sand, rubble and algae. Bleaching shows up as brightening, and sand does too.
• Timing: bleached coral either recovers or dies within weeks. A dive score is only useful if it is close in time to a cloud-free image. The tropics are cloudy in the wet season.
• Ground truth is expensive: each boat day costs a few hundred dollars and covers 2–3 sites. Without cheaper methods (snorkel surveys on reef flats), Stage 2 stalls, as it has now.
• Agent-only mapping looks productive but can be confidently wrong. Without human checks, errors spread across the whole map.</t>
  </si>
  <si>
    <t xml:space="preserve">• A small dive operator in Moalboal, Cebu that offers boat days at cost (Bantay Dagat Divers, fictional)
• A dive shop in Fiji willing to train 2 local divers in the survey method (Lomaiviti Reef Divers, fictional)
• A marine-park ranger team who will use the map and give feedback (Bohol Sanctuary Wardens, fictional)
• A university remote-sensing lab that lends a GPU and reviews the model (Visayas Ocean Lab, fictional)</t>
  </si>
  <si>
    <t xml:space="preserve">• Sentinel-2 imagery (10 m, about 5-day revisit) via the Copernicus Data Space
• Landsat 8/9 imagery for the longer history
• Allen Coral Atlas reef extent and habitat maps
• NOAA Coral Reef Watch sea-surface temperature and Degree Heating Weeks
• CoralNet for annotating benthic photo-quadrats
• CoralWatch Coral Health Chart for colour scoring
• Reef Check / line-intercept transect methods
• QGIS and open Python tools (rasterio, scikit-learn)
• Local government marine protected area permits (Philippines Fisheries Code, RA 8550 as amended)</t>
  </si>
  <si>
    <t xml:space="preserve">About 12–15 months. The pilot took 2 months. Ground truth needs 4–6 more months and is the slowest step because of boat money, weather and the dive season. The model takes 3 months, and the public map about 2 months to build, then runs on.</t>
  </si>
  <si>
    <t xml:space="preserve">lead</t>
  </si>
  <si>
    <t xml:space="preserve">No child in Dayton drinks lead</t>
  </si>
  <si>
    <t xml:space="preserve">Thousands of Dayton homes may still get water through lead pipes. Find them and get them replaced, homes with kids first.</t>
  </si>
  <si>
    <t xml:space="preserve">Proposed</t>
  </si>
  <si>
    <t xml:space="preserve">Players decide what gets started</t>
  </si>
  <si>
    <t xml:space="preserve">Bill Turner</t>
  </si>
  <si>
    <t xml:space="preserve">Retired civil engineer, Ohio</t>
  </si>
  <si>
    <t xml:space="preserve">Dayton, USA</t>
  </si>
  <si>
    <t xml:space="preserve">Lead service lines carry water from the street main into older homes. Lead can leach into tap water, and there is no known safe blood lead level for children. The US EPA estimates about 9 million lead service lines are still in use nationwide. Like other cities, Dayton had to publish an inventory in 2024, but cities across the US list many lines as 'status unknown', and a line nobody has confirmed cannot be put on a replacement schedule.</t>
  </si>
  <si>
    <t xml:space="preserve">Households in Dayton's older neighbourhoods, mainly homes built before the 1950s–60s, where lead lines are most likely. Families with young children and renters, who often don't know what pipe they have, benefit first. It also helps the city's water department, which needs confirmed lines to plan and fund replacement.</t>
  </si>
  <si>
    <t xml:space="preserve">Confirming each line means someone has to look at the pipe in a basement, and a city crew visit to every home is slow and costly. The pipe is often split in ownership (the city owns one side, the homeowner the other), so nobody owns the whole problem. Residents can identify their own pipe in 5 minutes with a magnet and a coin, but there is no simple, trusted way to collect what they find.</t>
  </si>
  <si>
    <t xml:space="preserve">• 500 lead lines replaced, homes with children first
• Every address in the public inventory is matched to a block on the map, and 'unknown' lines are counted by block
• 1,000 resident photos of 'unknown' lines are checked, with each one called lead, galvanised, copper or plastic
• Photo calls match a licensed plumber's check on at least 90% of 40 randomly picked homes
• A public block-level map is live and is updated monthly for 12 months
• The city publishes a dated plan to replace at least 500 confirmed lead lines, with the confirmed lines first</t>
  </si>
  <si>
    <t xml:space="preserve">• Strictly non-partisan: no candidates, parties or campaigns. Every ask goes to the city through public channels, such as records requests and public comment.
• Public records and willing residents only. Photos come only from your own home, or a home whose owner says yes in writing. No door-to-door collection.
• Privacy: the map shows status by block. A house appears only if its owner opts in. Photo metadata (GPS, faces) is stripped.
• Never cut, unscrew or bend a pipe. A light scratch with a coin and a magnet test is the limit. Wash your hands afterwards.
• No health advice beyond public guidance. Point people to the city's and EPA's lead guidance and filter information.</t>
  </si>
  <si>
    <t xml:space="preserve">• Split ownership: the city side and the home side can be different materials, and a basement photo only shows the home side.
• Galvanised pipe that was once downstream of lead also counts for replacement under the 2024 rules. Residents can't see the history.
• Photos fool people. Painted pipes, wrapped pipes and dark basements make a magnet-and-scratch test the only reliable home check.
• Turnout is uneven. Homeowners in better-off streets reply more, but the unknown lines are often in rentals. The map must show where data is missing, not just where lead is.
• The city already has a legal deadline. The mission must help it, not compete with it, or the data will be ignored.</t>
  </si>
  <si>
    <t xml:space="preserve">• A neighbourhood association in an older west-side area that hosts sign-up nights (Westwood Porch Network, fictional)
• A licensed plumbing co-op that checks 40 random homes to confirm photo accuracy (Gem City Plumbers Co-op, fictional)
• A local library branch that lends magnets and hosts help desks (Riverbend Library Friends, fictional)</t>
  </si>
  <si>
    <t xml:space="preserve">• EPA Lead and Copper Rule Revisions (2021): service line inventories due 16 Oct 2024
• EPA Lead and Copper Rule Improvements (2024): replacement within about 10 years
• City of Dayton public lead service line inventory
• Ohio Public Records Act, ORC 149.43
• Ohio Revised Code 6109.21 (lead line mapping by water systems, from HB 512, 2016)
• EPA 'Protect Your Tap' pipe identification guide
• Montgomery County Auditor parcel data (year built)
• US Census American Community Survey (housing age, renters)
• OpenStreetMap and QGIS for the block map</t>
  </si>
  <si>
    <t xml:space="preserve">About 9–12 months. Records take 1–2 months (public records replies can be slow), photos 4–5 months, the map 1–2 months, then 2–3 months to get a dated city plan. The slowest step is getting enough photos from renters and the oldest blocks.</t>
  </si>
  <si>
    <t xml:space="preserve">tutor</t>
  </si>
  <si>
    <t xml:space="preserve">Learning</t>
  </si>
  <si>
    <t xml:space="preserve">Every child can do basic maths</t>
  </si>
  <si>
    <t xml:space="preserve">Many children finish primary school without basic maths. Get them there, even where there's no internet.</t>
  </si>
  <si>
    <t xml:space="preserve">Final stage</t>
  </si>
  <si>
    <t xml:space="preserve">What a finish looks like</t>
  </si>
  <si>
    <t xml:space="preserve">Chioma Okafor</t>
  </si>
  <si>
    <t xml:space="preserve">Head teacher, Lagos</t>
  </si>
  <si>
    <t xml:space="preserve">10 countries</t>
  </si>
  <si>
    <t xml:space="preserve">Existing · rename from 'Free AI tutor for 1M kids'</t>
  </si>
  <si>
    <t xml:space="preserve">Many children finish primary school without being able to do basic maths. UNESCO estimates about 6 in 10 children and teenagers worldwide were not reaching minimum skill in reading and maths. Classes of 40–60 children leave teachers no time for one-to-one help, and most tutoring apps need fast internet and expensive phones.</t>
  </si>
  <si>
    <t xml:space="preserve">Children aged 8–11 (roughly Primary 3–5) in low-cost schools in Nigeria, Ghana, Kenya, Tanzania, Uganda, Rwanda, Ethiopia, India, Bangladesh and the Philippines. The pilot reached 500 children in 25 classes. One shared phone serves a small group in class.</t>
  </si>
  <si>
    <t xml:space="preserve">Children and schools in these places cannot pay, so companies build for richer markets with good internet. Every country has its own curriculum and language, so one app does not fit all. Few groups run fair tests, so nobody knows which tools really help.</t>
  </si>
  <si>
    <t xml:space="preserve">• Works fully offline on a phone costing about $50 (1–2 GB RAM, Android Go) and fits under 150 MB
• Covers the national maths curriculum for 3 grade levels in all 10 countries
• 500 pilot children use it at least 3 times a week for 4 weeks
• In all 10 countries, pilot classes' average score rises at least 10% from their start score and beats the comparison class
• Code, content and test items released openly (MIT for code, CC BY 4.0 for content)</t>
  </si>
  <si>
    <t xml:space="preserve">• Child safety first: an adult school staff member is always present, and no player is ever alone with a child.
• Written consent from a parent or guardian, and agreement from the head teacher, before any child uses the app or takes a test.
• No names, photos or voice of children are stored. Each child gets a code, and the key to the codes stays at the school.
• Follow each country's data law (for example the Kenya Data Protection Act 2019, Nigeria Data Protection Act 2023, India DPDP Act 2023).
• Report every country's result honestly, including ones that miss the target.</t>
  </si>
  <si>
    <t xml:space="preserve">• Running a helpful tutor on 1–2 GB of RAM with no internet means a tiny model or rule-based hints, not a big chatbot.
• 10 curricula and 10 languages: maths words such as 'carry' or 'fraction' differ even between nearby regions.
• Fair testing: 4 weeks is short, samples are small (about 50 per country), and teachers may 'teach to the test'.
• Phones get shared, lost or run flat. Charging in schools without power is a real limit.
• Keeping schools engaged after the pilot ends.</t>
  </si>
  <si>
    <t xml:space="preserve">• A network of low-cost schools in 10 countries (Bright Bench Schools Network, fictional)
• A refurbished-phone supplier offering $50 handsets (SecondLife Devices, fictional)
• A university education department that reviews the test design (Lakeside University Education Lab, fictional)
• A small education fund (Open Slate Fund, fictional)</t>
  </si>
  <si>
    <t xml:space="preserve">• Early Grade Mathematics Assessment (EGMA) open toolkit, used to build the 20-minute test
• National curricula: Nigeria NERDC Basic Education Curriculum, Kenya CBC (KICD), India NCERT, Philippines DepEd K-12 MELCs
• UNESCO UIS SDG 4.1.1 learning data
• Android Go and LiteRT (TensorFlow Lite) for on-device models
• Kenya Data Protection Act 2019; Nigeria Data Protection Act 2023; India DPDP Act 2023
• ODK / Kobo-style offline forms for collecting test scores</t>
  </si>
  <si>
    <t xml:space="preserve">About 12 months in total. The slowest step was Stage 3: school permissions and parent consent took 2–3 months in some countries. Stage 4 now waits on the end-of-term Kenya test.</t>
  </si>
  <si>
    <t xml:space="preserve">benefits</t>
  </si>
  <si>
    <t xml:space="preserve">Society</t>
  </si>
  <si>
    <t xml:space="preserve">Get families the benefits they're owed</t>
  </si>
  <si>
    <t xml:space="preserve">Help poor families in UP claim the pensions, scholarships and ration they already have a right to.</t>
  </si>
  <si>
    <t xml:space="preserve">Society missions work like science ones</t>
  </si>
  <si>
    <t xml:space="preserve">Meera Joshi</t>
  </si>
  <si>
    <t xml:space="preserve">NGO coordinator, Lucknow</t>
  </si>
  <si>
    <t xml:space="preserve">Sitapur &amp; Banda, Uttar Pradesh</t>
  </si>
  <si>
    <t xml:space="preserve">Families in Uttar Pradesh can claim old-age and widow pensions, free ration under the National Food Security Act, PM-KISAN and student scholarships. Many who qualify never get them. The forms are online, each one needs 2–4 certificates first (income, caste, domicile), and the money only arrives if the bank account is linked to Aadhaar for Direct Benefit Transfer (DBT). A widow aged 40–79 below the poverty line can get a monthly pension, but first she must know it exists, get an income certificate from the tehsil and apply on the state pension portal.</t>
  </si>
  <si>
    <t xml:space="preserve">Poor rural families in two UP districts, Sitapur and Banda: widows, elderly people, small farmers and students from SC, ST, OBC and minority families. The helper answers anyone in UP. The on-ground pilot aims at 1,000 families.</t>
  </si>
  <si>
    <t xml:space="preserve">Each scheme belongs to a different department with its own portal, rules and documents, so nobody owns the whole picture for one family. Middlemen charge fees to fill free forms, and families stop trusting help. When payments fail because the Aadhaar seeding or the name spelling doesn't match, nobody tells the family why.</t>
  </si>
  <si>
    <t xml:space="preserve">• 50 scheme cards checked against the official government orders, each with the benefit, who qualifies, the documents needed and where to apply
• The helper answers correctly in 6 languages: at least 90% right on a 30-question test set per language, with zero answers that ask for an Aadhaar number, OTP or bank PIN
• 1,000 families in Sitapur and Banda submit complete applications, each with an official registration number
• 750 families show a first payment credited in their bank account (passbook or official portal status)
• No family pays the mission or a volunteer anything</t>
  </si>
  <si>
    <t xml:space="preserve">• Never collect, photograph or store Aadhaar numbers, OTPs, bank PINs or document copies. Families keep their own papers (Aadhaar Act 2016 Sec. 29, DPDP Act 2023).
• Help is always free. Families pay only the official fee at a Common Service Centre (CSC), against a printed receipt.
• Apply only through official portals, CSCs or block offices. Never through an agent who promises to 'get it sanctioned'.
• Non-partisan: no party names, symbols or leaders' photos on any material, and never tell families a benefit comes from a party.
• Any family story or photo needs that family's spoken consent in their own language, and it can be withdrawn at any time.</t>
  </si>
  <si>
    <t xml:space="preserve">• Documents come before schemes. A pension application stalls for weeks until the tehsil issues an income certificate, and caste certificates can take longer.
• DBT failures are invisible. A payment 'sent' on the portal bounces if the account isn't Aadhaar-seeded on the NPCI mapper, is dormant, or the name spelling differs between Aadhaar and the bank.
• Rules differ by scheme and change by government order: age bands, income limits and whether a widow can draw both the state and central pension. The 50 cards go stale.
• Many applicants can't read well. The helper has to work with voice notes in Awadhi or Bundeli, not just typed Hindi.
• Sanction sits with officials (BDO, SDM, District Social Welfare Officer). We can help families apply and follow up, but we can't speed up approval.</t>
  </si>
  <si>
    <t xml:space="preserve">• A Lucknow network of form-help NGOs with field staff in Sitapur and Banda (Awadh Seva Sangh, fictional)
• A WhatsApp Business solution provider to host the helper number (BolChal Tech, fictional)
• Village-level CSC operators in the pilot blocks who agree to post their fees (Sidhauli Digital Seva Kendra, fictional)
• A rural bank branch that runs Aadhaar-seeding camps (Gramin Setu Bank, fictional)</t>
  </si>
  <si>
    <t xml:space="preserve">• myScheme portal (myscheme.gov.in) for scheme rules
• UP Social Security Pension portal (sspy-up.gov.in) for old-age, widow and disability pensions
• UP Scholarship portal (scholarship.up.gov.in)
• e-District UP (edistrict.up.gov.in) for income, caste and domicile certificates
• National Food Security Act 2013 and UP Food &amp; Civil Supplies portal (fcs.up.gov.in) for ration card status
• PM-KISAN beneficiary status page (pmkisan.gov.in)
• NSAP guidelines (Indira Gandhi National Widow and Old Age Pension Schemes)
• Bhashini (Govt. of India language tools) for first-draft translation, always reviewed by a native speaker
• IGRS Jansunwai portal / CM Helpline 1076 and RTI Act 2005 Sec. 6 for stuck applications</t>
  </si>
  <si>
    <t xml:space="preserve">About 10–12 months in total. The slowest step is Stage 4: after a family applies, verification by the block or tehsil and sanction by the district officer often take 1–3 months, and pensions are paid in quarterly instalments.</t>
  </si>
  <si>
    <t xml:space="preserve">candidate</t>
  </si>
  <si>
    <t xml:space="preserve">Every Pune voter chooses with facts</t>
  </si>
  <si>
    <t xml:space="preserve">Candidates' sworn facts are public but buried in long PDFs. Put them in front of voters in Pune district before they vote.</t>
  </si>
  <si>
    <t xml:space="preserve">Countdown</t>
  </si>
  <si>
    <t xml:space="preserve">Some missions race a deadline (12 days to voting day)</t>
  </si>
  <si>
    <t xml:space="preserve">Arjun Mehta</t>
  </si>
  <si>
    <t xml:space="preserve">Journalist, Mumbai</t>
  </si>
  <si>
    <t xml:space="preserve">Pune district, 21 Assembly seats</t>
  </si>
  <si>
    <t xml:space="preserve">Every Assembly candidate must file a sworn affidavit (Form 26) listing criminal cases, assets, debts and education. The Election Commission puts them online, but each one is a 15–40 page scanned PDF in dense legal English or Marathi, and few voters ever open one. This election, Pune district's 21 seats have about 310 candidates and 12 days to go.</t>
  </si>
  <si>
    <t xml:space="preserve">Voters in Pune district's 21 Assembly constituencies (more than 80 lakh registered voters), especially first-time voters and people who follow the news in Marathi.</t>
  </si>
  <si>
    <t xml:space="preserve">Affidavits are scanned images, not data, so every number has to be read and typed by a person. The window between the final candidate list and polling day is only about two weeks. Media cover the big races and skip most independents. Any slip can bring a defamation notice or a charge of bias, so few groups want the risk.</t>
  </si>
  <si>
    <t xml:space="preserve">• 310 profiles on one identical template, in Marathi and English
• Every fact carries the affidavit page number it came from
• Every profile passes 2 independent checks, with zero open factual disputes at publication
• 1,00,000 unique visits to profile pages before the 48-hour silence period begins
• Equal-treatment audit passed: same fields, same length limit, same order (ballot order from Form 7A) for every candidate</t>
  </si>
  <si>
    <t xml:space="preserve">• Public records only: Form 26 affidavits and the Returning Officer's list of contesting candidates (Form 7A). No social media, news reports or rumours.
• Strictly non-partisan: no party logos or colours, no adjectives, no ranking, no 'best' or 'worst'. A pending case is written as 'case pending, not convicted'.
• Never publish addresses, PAN, phone numbers, bank details or family members' names, even when the affidavit shows them.
• All sharing stops when the 48-hour silence period begins (RP Act 1951 Sec. 126). No paid promotion at any time.
• Anyone working for a party or campaign declares it and does not write or check profiles in that constituency.</t>
  </si>
  <si>
    <t xml:space="preserve">• Scans are poor: mixed Marathi and English, handwriting, stamps across text. OCR gets many numbers wrong, so every figure must be read by a person.
• Assets are split across self, spouse, HUF and dependents, in movable and immovable tables. Adding them up without double counting is easy to get wrong.
• Criminal cases are listed by section number, under the old IPC or the new BNS (in force since July 2024). Turning a section into plain words without implying guilt takes care.
• The list keeps changing: withdrawals, rejected nominations and candidates with the same name all arrive days before polling.
• Supporters of every side will call the profiles biased, so the process has to be provably the same for everyone.</t>
  </si>
  <si>
    <t xml:space="preserve">• A Pune law college's legal-aid clinic to review the template and risky wording (Deccan Law Clinic, fictional)
• A desk of retired Marathi sub-editors for translation (Shabda Desk, fictional)
• Housing society federations and college volunteer units to share links (Kothrud Residents' Forum, fictional)
• An election-law adviser on call for legal notices (Adv. S. Patwardhan, fictional)</t>
  </si>
  <si>
    <t xml:space="preserve">• Form 26 affidavits on the ECI affidavit portal (affidavit.eci.gov.in)
• Conduct of Election Rules 1961, Rule 4A and Form 26
• Form 7A list of contesting candidates from each Returning Officer, via the Chief Electoral Officer, Maharashtra site
• Representation of the People Act 1951: Sec. 30 (timeline), Sec. 125A (false affidavit), Sec. 126 (48-hour silence)
• ECI Model Code of Conduct and its social media guidance
• IPC 1860 and Bharatiya Nyaya Sanhita 2023 section lists, for the plain-language case glossary
• Tesseract OCR with the Marathi (mar) model, for first-pass extraction only</t>
  </si>
  <si>
    <t xml:space="preserve">About 4 weeks from the close of nominations to polling day. That's roughly 4 days to collect, 8 days to write profiles, 4 days for second checks and corrections, and 6 days to share before the silence period. The slowest step is the second independent check, because every number has to be traced back to a page.</t>
  </si>
  <si>
    <t xml:space="preserve">pothole</t>
  </si>
  <si>
    <t xml:space="preserve">No rider hurt by a Bengaluru pothole</t>
  </si>
  <si>
    <t xml:space="preserve">Potholes throw Bengaluru's riders off their bikes every week. Get the worst ones fixed fast, and keep them fixed.</t>
  </si>
  <si>
    <t xml:space="preserve">Just started</t>
  </si>
  <si>
    <t xml:space="preserve">Lots of quick quests on your way home</t>
  </si>
  <si>
    <t xml:space="preserve">Kavya Iyer</t>
  </si>
  <si>
    <t xml:space="preserve">Product manager, Bengaluru</t>
  </si>
  <si>
    <t xml:space="preserve">Bengaluru, India</t>
  </si>
  <si>
    <t xml:space="preserve">Bengaluru has roughly 13,000–14,000 km of city-run roads, and potholes come back after every monsoon. People complain on the city's Sahaaya app or the 1533 helpline, but many complaints are closed without a repair, and nobody publishes ward-by-ward fix rates. Two-wheeler riders take most of the risk.</t>
  </si>
  <si>
    <t xml:space="preserve">Bengaluru's 1.3 crore or so residents, above all two-wheeler riders, delivery workers, cyclists and pedestrians. The pilot covers 20 wards in the east and south of the city, then expands.</t>
  </si>
  <si>
    <t xml:space="preserve">Roads belong to different owners: the city corporation, BDA, NHAI, metro works, and water or power utilities that dig trenches. Each can point at another. Contractors are paid per job, and defect-liability clauses that should force free re-repair are rarely enforced. The complaint system measures closure, not repair, and city governance and ward maps are being reorganised, so it's often unclear which officer is responsible.</t>
  </si>
  <si>
    <t xml:space="preserve">• Pothole crashes on mapped roads fall by half
• 5,000 unique potholes pinned, each with a photo, GPS, time, size and road owner
• At least 95% of verified pins filed through an official channel, each with a complaint ID
• 80% of filed potholes show a verified repair (after-photo) within 90 days
• A public ward scoreboard showing median days to fix, updated weekly
• Zero road-safety incidents among players</t>
  </si>
  <si>
    <t xml:space="preserve">• Never photograph from a moving vehicle or while standing in traffic. Pull over first or skip it.
• No faces or number plates in photos. Blur them before uploading.
• One pin per pothole. File only through official channels, from your own account. No fake, duplicate or bulk bot complaints.
• Publish ward and office numbers, never personal attacks on named engineers or workers.
• Non-partisan: no party or candidate branding, and the data is shared equally with anyone who asks.</t>
  </si>
  <si>
    <t xml:space="preserve">• Duplicates: phone GPS drifts 5–20 m between buildings, so two riders pin the same pothole as two.
• Road ownership: a pothole inside a metro work zone or over a water-board trench is not the corporation's job, and the complaint bounces.
• 'Closed' is not 'fixed'. Proving a repair needs a second visit and an after-photo.
• Monsoon patches with cold mix often fail within weeks, so a 'fixed' pothole can reopen before day 90.
• Ward boundaries and officer lists are changing under the new city corporations, so pins must be re-mapped when new boundaries are published.</t>
  </si>
  <si>
    <t xml:space="preserve">• Delivery-rider community groups who pin on routes they already ride (Rider Saathi Collective, fictional)
• Resident welfare associations in pilot wards (South-East RWA Forum, fictional)
• A civic-tech volunteer group to host the map and scoreboard (OpenRaasta Labs, fictional)
• A retired road engineer to judge repair quality (Kere Roads Advisory, fictional)</t>
  </si>
  <si>
    <t xml:space="preserve">• Sahaaya grievance app and the 1533 helpline (the city's official complaint channels)
• Greater Bengaluru Governance Act 2024 (city corporations and ward committees)
• BBMP 198-ward boundary files on open civic data portals, plus newly notified ward maps when published
• OpenStreetMap road network for snapping pins to roads
• IRC:82 Code of Practice for Maintenance of Bituminous Roads (Indian Roads Congress)
• RTI Act 2005 Sec. 6 for road work orders and defect-liability periods
• Karnataka Public Procurement portal (KPPP) for road repair tenders</t>
  </si>
  <si>
    <t xml:space="preserve">About 7–9 months. That's 6–8 weeks to map, 3–4 weeks to file, then a 90-day tracking window for the last batch. The slowest step is waiting for repairs: crews prioritise main roads and hold back work in heavy rain.</t>
  </si>
  <si>
    <t xml:space="preserve">rti</t>
  </si>
  <si>
    <t xml:space="preserve">Every rupee reaches Bihar's schools</t>
  </si>
  <si>
    <t xml:space="preserve">Money for toilets, books and teachers is sent, but often never arrives. Follow it to 100 schools and get the gaps fixed.</t>
  </si>
  <si>
    <t xml:space="preserve">Real-world blockers need people, not just agents</t>
  </si>
  <si>
    <t xml:space="preserve">Rajesh Kumar</t>
  </si>
  <si>
    <t xml:space="preserve">Retired teacher, Patna</t>
  </si>
  <si>
    <t xml:space="preserve">Bihar, India</t>
  </si>
  <si>
    <t xml:space="preserve">Every year each Bihar government school gets grants under Samagra Shiksha, for example a composite school grant of ₹10,000 to ₹1,00,000 depending on how many children are enrolled. Parents almost never see how much came in or what it bought. Toilets show up as 'functional' on UDISE+ but are locked or broken, and library books are bought on paper but not on the shelf.</t>
  </si>
  <si>
    <t xml:space="preserve">Parents, School Management Committee (Vidyalaya Shiksha Samiti) members and teachers at 100 government primary and middle schools in Patna, Gaya, Muzaffarpur and Purnia districts. Roughly 25,000 to 35,000 children study there.</t>
  </si>
  <si>
    <t xml:space="preserve">The money flows through block and district offices, so no one at the school level sees the whole picture. RTI replies often come late, appeals take many months, and one parent asking alone is easy to ignore. Comparing paper with reality takes 100 site visits, and nobody is paid to do them.</t>
  </si>
  <si>
    <t xml:space="preserve">• 50 schools get what was missing
• 100 RTI replies received (or a Commission order for each missing one)
• 100 school visits done with a 12-item checklist and timestamped photos
• 100 one-page report cards published in Hindi, each with the school's right of reply attached
• Every gap above ₹5,000 or one missing facility backed by two documents (RTI reply + visit photo)
• Report cards presented at 20 or more School Management Committee meetings</t>
  </si>
  <si>
    <t xml:space="preserve">• Strictly non-partisan. No party names, no politicians, no blame language. Report what the papers say and what we saw.
• Public records only. No children's faces or names in photos. No staff personal data beyond name and post as given in the RTI reply.
• On-ground visits only in school hours, in pairs, after the head teacher says yes. No entry if refused. Note the refusal and leave.
• Each school gets 15 days to answer before its report card is published, and the answer is printed beside our findings.
• No bribes and no 'speed money', ever. If someone asks for one, log it and leave.</t>
  </si>
  <si>
    <t xml:space="preserve">• PIOs transfer applications under Sec. 6(3) or reply 'information not held', and every transfer restarts a 5-day clock and a new paper trail.
• Replies arrive as scanned cashbooks and PFMS printouts in mixed Hindi and English. Turning them into comparable numbers is slow, careful work.
• Second appeals at the State Information Commission can wait months for a hearing, and the hearing is in Patna, far from rural applicants.
• Grant heads differ by year and by school category, so 'missing money' is often a coding difference rather than theft. You have to know the Samagra Shiksha norms to tell which.
• Head teachers may feel accused. Without their trust, visits get refused.</t>
  </si>
  <si>
    <t xml:space="preserve">• A retired-teachers' association that lends volunteers for appeals and visits (Purana Shikshak Manch, fictional)
• A law-college RTI clinic that checks appeal drafts (Patliputra Law Clinic, fictional)
• A parents' network active in 20 School Management Committees (Abhibhavak Sangh Bihar, fictional)</t>
  </si>
  <si>
    <t xml:space="preserve">• RTI Act 2005: Sec. 6 (application), Sec. 7(1) (30-day reply), Sec. 7(5) (no fee for BPL), Sec. 19(1) and 19(3) (first and second appeal), Sec. 20 (penalty)
• Bihar Right to Information Rules 2006 (₹10 fee by cash, demand draft or postal order)
• UDISE+ school-level data (enrolment, toilets, library, teachers) and school report cards
• Samagra Shiksha Framework for Implementation (composite school grant norms) and Bihar PAB minutes
• PFMS fund-transfer records as supplied in RTI replies
• India Post registered post tracking (proof of filing)</t>
  </si>
  <si>
    <t xml:space="preserve">About 12 to 15 months in total. The slowest step is stage 3: 30 days for a reply, 30 to 45 days for a first appeal, then often 4 to 9 months before a second appeal is heard at the Commission.</t>
  </si>
  <si>
    <t xml:space="preserve">flood</t>
  </si>
  <si>
    <t xml:space="preserve">No Lagos family caught by a flood</t>
  </si>
  <si>
    <t xml:space="preserve">Floods hit Lagos streets with no warning. Give families two hours to move people and things to safety.</t>
  </si>
  <si>
    <t xml:space="preserve">Plan in review</t>
  </si>
  <si>
    <t xml:space="preserve">The mission creator OKs each new plan</t>
  </si>
  <si>
    <t xml:space="preserve">Femi Adeyemi</t>
  </si>
  <si>
    <t xml:space="preserve">Telecom engineer, Lagos</t>
  </si>
  <si>
    <t xml:space="preserve">Lagos, Nigeria</t>
  </si>
  <si>
    <t xml:space="preserve">Every rainy season (April to October) parts of Lagos flood. Families in Ogun River communities like Isheri North often learn the water is coming only when it reaches the door. National outlooks name Lagos as high-risk every year, but they work at the scale of a whole LGA and a whole season, not a street on a given night. Nigeria's 2012 floods killed about 360 people nationally, and the 2022 floods killed more than 600.</t>
  </si>
  <si>
    <t xml:space="preserve">About 10,000 households (roughly 40,000 people) along the lower Ogun River (Isheri North, Ikosi-Isheri) and one flood-prone Lagos canal, starting in Kosofe and Ikosi-Isheri areas.</t>
  </si>
  <si>
    <t xml:space="preserve">Gauges get installed by projects and then stop working when the grant ends: batteries die, SIMs expire, sensors get stolen. Alerts need a trusted local sender and the right language, and nobody owns the cost of SMS after launch. Upstream dam-release information is not shared in a form residents can act on.</t>
  </si>
  <si>
    <t xml:space="preserve">• 20 sensors (14 water-level, 6 rain) online with at least 90% uptime for a full rainy month
• 10,000 phones opted in by SMS keyword, with at least 60% choosing Yoruba or Pidgin
• In 4 of 5 real flood events at the Ogun River sites, alerts arrived 2 or more hours before water reached the marked street level
• False alarms make up fewer than 1 in 4 alerts over the season
• A signed handover with 12 months of SIM, SMS and repair costs funded, and 2 trained local technicians</t>
  </si>
  <si>
    <t xml:space="preserve">• Never install or check sensors when water is rising or after dark. Two people at every river visit.
• Opt-in only. Phone numbers are stored encrypted, used only for flood alerts, and deleted on 'STOP'.
• Alerts say what the water is doing and what to do. They never blame anyone and never contradict official LASEMA or NEMA evacuation orders.
• Every sensor site needs written OK from the landowner or community, plus the CDA chair.
• Open hardware and open data. Water-level readings are published so others can reuse them.</t>
  </si>
  <si>
    <t xml:space="preserve">• Setting thresholds. Too low and people ignore the alerts. Too high and the warning arrives too late. Every site needs its own threshold, tuned against real events.
• Keeping sensors alive through a rainy season: solar panels shaded by roofs, enclosures flooding, cables cut, theft.
• Bulk SMS in Nigeria needs a registered sender ID and has to deal with Do-Not-Disturb filtering. Alerts that arrive late or not at all are worse than no alerts.
• Ogun River levels depend on Oyan Dam releases upstream. Without release information, the gauge alone gives less warning.
• Getting a local body to take over the running costs after the mission ends.</t>
  </si>
  <si>
    <t xml:space="preserve">• A residents' Community Development Association that hosts sensors and owns the handover (Isheri Riverside CDA, fictional)
• A maker space that builds and repairs gauges (Yaba Hardware Lab, fictional)
• A licensed bulk-SMS aggregator with a registered short code (TextWave Nigeria, fictional)
• A university hydrology group that checks thresholds (Lagoon Hydrology Group, fictional)</t>
  </si>
  <si>
    <t xml:space="preserve">• NIHSA Annual Flood Outlook (Nigeria Hydrological Services Agency), yearly
• NiMet Seasonal Climate Prediction
• GloFAS (Copernicus Global Flood Awareness System) river forecasts
• OpenStreetMap waterways and buildings; Humanitarian OpenStreetMap Tasking Manager
• Common Alerting Protocol (CAP 1.2, OASIS) for alert messages
• NCC rules on bulk SMS sender IDs and Do-Not-Disturb (2442)
• Open hardware: ESP32 board, JSN-SR04T ultrasonic or radar level sensor, tipping-bucket rain gauge, 2G/4G modem, solar panel</t>
  </si>
  <si>
    <t xml:space="preserve">About 14 to 18 months: build and install before the April rains, run a full rainy season (April to October), then hand over. The slowest step is stage 3, because you have to wait for real floods to test against.</t>
  </si>
  <si>
    <t xml:space="preserve">renter</t>
  </si>
  <si>
    <t xml:space="preserve">Atlanta renters get the repairs they're owed</t>
  </si>
  <si>
    <t xml:space="preserve">Atlanta renters live with broken heat and lose deposits, because a lawyer costs too much. Help them get what the law already gives them.</t>
  </si>
  <si>
    <t xml:space="preserve">Raising money</t>
  </si>
  <si>
    <t xml:space="preserve">Backing a plan is a way to play (Patron)</t>
  </si>
  <si>
    <t xml:space="preserve">Jamal Carter</t>
  </si>
  <si>
    <t xml:space="preserve">Tenant organiser, Atlanta</t>
  </si>
  <si>
    <t xml:space="preserve">Atlanta, USA</t>
  </si>
  <si>
    <t xml:space="preserve">Atlanta renters with a broken AC, a missing deposit or a sudden rent notice often don't know what Georgia law says, or how to put it in writing. A clear, dated letter is the paper trail that matters later in magistrate court, but most tenants never send one. Fulton County has one of the highest eviction filing rates in the US, with tens of thousands of filings a year.</t>
  </si>
  <si>
    <t xml:space="preserve">Renters in Atlanta and the wider Fulton and DeKalb counties, starting with 1,000 households. Many are low-income and do not have a lawyer.</t>
  </si>
  <si>
    <t xml:space="preserve">Legal aid groups have long waiting lists and cannot write a letter for every repair dispute. Generic online templates ignore Georgia rules, and a non-lawyer giving individual advice risks the unauthorized practice of law. Keeping templates current as Georgia law changes (as with the 2024 Safe at Home Act) costs money that nobody pays for.</t>
  </si>
  <si>
    <t xml:space="preserve">• 500 repairs made or deposits returned
• 10 letters, each signed off in writing by a Georgia-licensed lawyer, in English and Spanish
• Each letter readable at a 6th to 8th grade level (tested with 5 renters per letter)
• 1,000 renters create a letter within 6 months of launch
• At a 60-day follow-up, at least 35% of surveyed senders report a result (repair done, deposit returned, written notice received)
• Zero personal data kept after the letter is made, unless the renter opts in to follow-up</t>
  </si>
  <si>
    <t xml:space="preserve">• Legal information, not legal advice. Every letter and the tool say so, and anything involving a court date is sent to legal aid.
• No letter goes live without a written sign-off from a Georgia-licensed lawyer, and it is re-checked whenever the law changes.
• Renters' names, addresses and landlord details stay on their device by default. Nothing is sold or shared.
• Calm, factual tone. Letters cite the law and the facts. No threats the law does not support.
• Fair to landlords: letters ask for what the law gives, nothing more.</t>
  </si>
  <si>
    <t xml:space="preserve">• Staying on the right side of unauthorized practice of law: the tool can help renters fill in templates, but it cannot tell a specific person what to do.
• Georgia has few tenant statutes and a lot of case law. Repair-and-deduct and rent withholding are risky, and a bad template can get a tenant evicted.
• Deadlines: 30 days for deposit return, 7 days to answer a dispossessory affidavit. A letter sent at the wrong moment can do harm.
• Small landlords (10 or fewer units, self-managed) are exempt from some deposit rules, so one deposit letter does not fit everyone.
• Getting volunteer lawyers to commit and stay. Pro bono hours are scarce.</t>
  </si>
  <si>
    <t xml:space="preserve">• A legal aid clinic that takes referrals for court cases (Peachtree Tenant Law Clinic, fictional)
• Volunteer Georgia-licensed lawyers who sign off letters (Southside Pro Bono Circle, fictional)
• A tenant union that tests letters and spreads the tool (Westside Renters United, fictional)</t>
  </si>
  <si>
    <t xml:space="preserve">• O.C.G.A. § 44-7-13 (landlord's duty to repair) and § 44-7-14 (landlord liability for failing to repair)
• O.C.G.A. §§ 44-7-30 to 44-7-37 (security deposits; § 44-7-34 30-day return; § 44-7-35 penalties; § 44-7-33 move-in damage list)
• Georgia Safe at Home Act, HB 404 (2024): fit-for-habitation duty, deposit cap, 3-business-day notice before filing for non-payment
• O.C.G.A. § 44-7-50 et seq. (dispossessory proceedings; 7 days to answer)
• O.C.G.A. § 44-7-24 (retaliation) and § 44-7-19 (rent control preemption)
• Fair Housing Act, 42 U.S.C. § 3604(f) (reasonable accommodation)
• Georgia Landlord Tenant Handbook (Georgia Dept. of Community Affairs)
• Eviction Lab data and Fulton County Magistrate Court public filing records (counts only)
• City of Atlanta 311 / code enforcement complaints</t>
  </si>
  <si>
    <t xml:space="preserve">About 7 to 9 months. The slowest step is stage 2, lawyer sign-off, because volunteer lawyers review in their spare time and every letter can go through 2 or 3 rounds.</t>
  </si>
  <si>
    <t xml:space="preserve">fountains</t>
  </si>
  <si>
    <t xml:space="preserve">Free water on every Berlin street</t>
  </si>
  <si>
    <t xml:space="preserve">In a heatwave, people need free water nearby. Map every public fountain and pump, and get the broken ones running.</t>
  </si>
  <si>
    <t xml:space="preserve">Won</t>
  </si>
  <si>
    <t xml:space="preserve">Real payouts and medals</t>
  </si>
  <si>
    <t xml:space="preserve">Lena Vogt</t>
  </si>
  <si>
    <t xml:space="preserve">Product designer, Berlin</t>
  </si>
  <si>
    <t xml:space="preserve">Berlin, Germany</t>
  </si>
  <si>
    <t xml:space="preserve">New · finished list</t>
  </si>
  <si>
    <t xml:space="preserve">On hot summer days people in Berlin can't easily find free drinking water. Many of the city's roughly 2,000 historic street hand pumps are broken or missing from maps. Drinking fountains are spread across 12 districts and are switched off in winter, and no single public map showed which ones actually worked.</t>
  </si>
  <si>
    <t xml:space="preserve">Berliners and visitors, especially older people, cyclists, homeless people and kids on hot days, across all 12 districts.</t>
  </si>
  <si>
    <t xml:space="preserve">Responsibility is split: drinking fountains have one operator, street pumps belong to the districts and the emergency water system. No one owned a citywide, up-to-date list of what works. Broken-pump reports landed in different inboxes, with no proof of where the pump was or what was wrong.</t>
  </si>
  <si>
    <t xml:space="preserve">• 1,100 or more water points mapped in OpenStreetMap with photo and working status
• 300 or more broken points reported to the responsible office with a photo and exact location
• 200 or more reported points confirmed fixed by a re-visit
• Data open under ODbL and live in common map apps</t>
  </si>
  <si>
    <t xml:space="preserve">• Only public water points. No private wells or gardens.
• Photos without faces. Don't photograph people using the pumps.
• Don't try to repair or force a pump yourself. Report it.
• Follow OpenStreetMap rules: survey on the ground, no copying from copyrighted maps.
• Report politely through official channels, one report per point, no spamming.</t>
  </si>
  <si>
    <t xml:space="preserve">• Telling apart drinking fountains, ornamental fountains and hand pumps, which need different OSM tags and different offices.
• Duplicate and outdated points already in OSM.
• Getting reports to the right office in each of 12 districts.
• Proving a fix: it needs a second visit, often weeks later.</t>
  </si>
  <si>
    <t xml:space="preserve">• A neighbourhood mapping group that trained new mappers (Kiezkarte Berlin, fictional)
• A cycling club that covered outer districts (Ringbahn Riders, fictional)</t>
  </si>
  <si>
    <t xml:space="preserve">• OpenStreetMap tags: amenity=drinking_water, man_made=water_well + pump=manual, amenity=fountain
• Overpass API and Overpass Turbo for queries
• StreetComplete and Every Door apps for on-the-ground surveys
• Berlin Open Data portal (daten.berlin.de)
• Ordnungsamt-Online, Berlin's public reporting portal
• EU Drinking Water Directive (EU) 2020/2184, Art. 16 (access to water in public places)</t>
  </si>
  <si>
    <t xml:space="preserve">7 months, March to September. The slowest step was stage 3: districts took 4 to 12 weeks to fix pumps, and every fix needed a re-visit.</t>
  </si>
  <si>
    <t xml:space="preserve">ramp</t>
  </si>
  <si>
    <t xml:space="preserve">Every doorstep open to wheelchairs</t>
  </si>
  <si>
    <t xml:space="preserve">One step at the door keeps wheelchair users out of many shops. Design a $40 ramp anyone can build, and get it built.</t>
  </si>
  <si>
    <t xml:space="preserve">Won · you helped</t>
  </si>
  <si>
    <t xml:space="preserve">Your history and medals</t>
  </si>
  <si>
    <t xml:space="preserve">A single step at a front door, shop or clinic can shut out a wheelchair user completely. Ready-made portable ramps often cost $100–300 or more, which is out of reach for many families and small shops. WHO estimates about 80 million people need a wheelchair, and many live in homes with at least one step.</t>
  </si>
  <si>
    <t xml:space="preserve">Wheelchair users, older people with walkers, and parents with prams. Builders were in 12 countries, including Germany, Kenya, India, Brazil, the Philippines and Mexico. It helps most where there is one step or a raised doorway.</t>
  </si>
  <si>
    <t xml:space="preserve">Ramps are cheap to make but costly to sell, because shipping, liability and markup add up. Open designs online were rarely load-tested, gave no cutting plan for local sheet sizes, or broke the slope rules. Nobody earns money from a free design, so nobody paid for the testing.</t>
  </si>
  <si>
    <t xml:space="preserve">• One design cut from a single 2440 x 1220 mm (8 x 4 ft) sheet with hand tools
• Slope 1:12 or gentler, with a usable width of at least 800 mm
• Holds 3 times a 150 kg load (450 kg) without breaking, in 10 tests
• Build guide in at least 8 languages under an open licence
• 300 ramps built and photographed in at least 10 countries</t>
  </si>
  <si>
    <t xml:space="preserve">• Safety before cost: no design ships without load tests and anti-slip edges.
• Each ramp carries a sticker with its maximum rise and slope. Do not use it on stairs taller than it is made for.
• Open licence (CERN-OHL-P for the design, CC BY 4.0 for the guide).
• Build photos show the ramp, not people's faces or house numbers, unless the owner agrees.</t>
  </si>
  <si>
    <t xml:space="preserve">• Getting a usable slope, width and stiffness from one sheet. Every cut is a trade-off.
• Plywood quality and sheet sizes vary by country (for example 2440 x 1220 mm vs 2500 x 1250 mm).
• Wet weather: exterior glue, sealing and grip all matter outdoors.
• Testing for strength without a lab: home load tests must be safe and repeatable.</t>
  </si>
  <si>
    <t xml:space="preserve">• A community makerspace that ran the load tests (Hinterhof Werkstatt, fictional)
• A disability-rights group that recruited users to try prototypes (Roll With Us, fictional)
• A timber yard that gave sheets at cost for prototypes (Northwood Timber, fictional)</t>
  </si>
  <si>
    <t xml:space="preserve">• ADA 2010 Standards for Accessible Design, Sec. 405 (1:12 maximum ramp slope)
• DIN 18040-1 (German accessible building standard, 6% ramp slope)
• ISO 21542:2021 Building construction – Accessibility and usability of the built environment
• EN 636 plywood for exterior use
• FreeCAD and an open nesting tool for cutting plans
• CERN Open Hardware Licence v2 – Permissive</t>
  </si>
  <si>
    <t xml:space="preserve">About 7 months. The slowest step was Stage 4: getting builds done and photographed in 12 countries.</t>
  </si>
  <si>
    <t xml:space="preserve">pumps</t>
  </si>
  <si>
    <t xml:space="preserve">Water within reach in Barmer</t>
  </si>
  <si>
    <t xml:space="preserve">When the village hand pump breaks, women in Barmer walk far for water. Find every broken pump in four blocks and get it pumping again.</t>
  </si>
  <si>
    <t xml:space="preserve">Impact on the ground in India</t>
  </si>
  <si>
    <t xml:space="preserve">Sunita Devi</t>
  </si>
  <si>
    <t xml:space="preserve">ASHA health worker, Rajasthan</t>
  </si>
  <si>
    <t xml:space="preserve">4 blocks of Barmer, Rajasthan</t>
  </si>
  <si>
    <t xml:space="preserve">In the Thar desert villages and dhanis (scattered hamlets) of Barmer, many families still rely on India Mark II hand pumps on deep borewells. When one breaks, women walk farther or buy tanker water. Repairs are the job of the Public Health Engineering Department (PHED), but broken pumps often go unreported or sit in a queue. We checked 2,600 pumps in 4 blocks and found 412 broken.</t>
  </si>
  <si>
    <t xml:space="preserve">Households in about 180 villages and dhanis across 4 Barmer blocks. Under the old planning norm of 1 hand pump per 250 people, the 412 broken pumps were meant to serve tens of thousands of people.</t>
  </si>
  <si>
    <t xml:space="preserve">Official records count pumps installed, not pumps working, so nobody knows which ones are broken today. Mechanics cover huge distances with few vehicles and fix only what is reported. Panchayats have Finance Commission grants for drinking water but rarely spend them on hand pumps. Some failures are dry or saline borewells that no repair can fix.</t>
  </si>
  <si>
    <t xml:space="preserve">• All 2,600 hand pumps in the 4 blocks checked, with a photo, GPS and a 20-stroke flow test
• Every broken pump reported to PHED or Rajasthan Sampark, with a complaint number
• 300 pumps repaired within 6 months, each proven by a flow test
• Fixed pumps re-checked 30 days later, and failures re-reported
• Dry or saline borewells formally logged for a new bore or closure</t>
  </si>
  <si>
    <t xml:space="preserve">• Never open borewell caps or climb on pump platforms, and never repair a pump yourself. Report it and leave it to trained mechanics.
• No surveying between noon and 4 pm in summer. Carry water and work in pairs.
• Photos show the pump, not people's faces, unless they give consent.
• The mission never pays for repairs or 'speed money'. PHED and panchayats fund repairs through official budgets.
• Non-partisan: credit the department and the panchayat, and use no party names or politicians' photos.</t>
  </si>
  <si>
    <t xml:space="preserve">• Distance and heat: dhanis are kilometres apart on sand tracks, and summer temperatures pass 45°C.
• Diagnosis: a pump that gives no water could have a worn cup washer (an easy fix), a broken rod or rising main (needs parts) or a dry borewell (no repair will help). Volunteers must record symptoms, not guess.
• Spare parts: rising-main pipes and cylinders run short, so repairs needing parts wait weeks.
• Matching records: PHED pump IDs are often missing or painted over, so our list and theirs don't match.
• Re-breaks: pumps with heavy use break again within weeks unless a village caretaker is trained and stocked.</t>
  </si>
  <si>
    <t xml:space="preserve">• Village women's self-help groups who know every pump (Thar Mahila Mandal, fictional)
• A local mechanics' cooperative that trained village caretakers (Marudhar Pump Sahayak, fictional)
• A Barmer volunteer network for transport and phones (Desert Seva Network, fictional)</t>
  </si>
  <si>
    <t xml:space="preserve">• PHED Rajasthan hand-pump records (obtained from block offices and via RTI)
• Rajasthan Sampark portal and the 181 helpline, for complaints
• Jal Jeevan Mission IMIS dashboard, for village tap coverage
• 15th Finance Commission tied-grant guidelines (drinking water and sanitation)
• e-GramSwaraj, for panchayat development plans and spending
• India Mark II deep-well hand pump specification (BIS)
• ODK Collect / KoboToolbox, for the offline survey
• RTI Act 2005 Sec. 6</t>
  </si>
  <si>
    <t xml:space="preserve">7 months in total: 1 month to set up, 1 month to survey, 4 months of reporting and repairs, and a final month of re-checks. The slowest step was repairs that needed rising-main pipes, which waited weeks for stock.</t>
  </si>
  <si>
    <t xml:space="preserve">air</t>
  </si>
  <si>
    <t xml:space="preserve">Fresh air in every classroom</t>
  </si>
  <si>
    <t xml:space="preserve">Stale air makes kids sleepy and sick. Tell teachers when to open a window, with a sensor schools can afford.</t>
  </si>
  <si>
    <t xml:space="preserve">Stopped</t>
  </si>
  <si>
    <t xml:space="preserve">Failure is safe: unspent money goes back</t>
  </si>
  <si>
    <t xml:space="preserve">Sofia Rossi</t>
  </si>
  <si>
    <t xml:space="preserve">Retired accountant, Milan</t>
  </si>
  <si>
    <t xml:space="preserve">Crowded classrooms with closed windows build up stale air quickly. CO2 is a simple sign of that: outdoor air is about 420 ppm, and classrooms often climb past 1,000–1,500 ppm during lessons. Teachers can't feel it happening. Good CO2 meters cost $100 or more, which is too much for most schools to buy one per room.</t>
  </si>
  <si>
    <t xml:space="preserve">Teachers and pupils in ordinary state schools, starting with 10 pilot classrooms. The plan was to reach about 200 classrooms if the price held.</t>
  </si>
  <si>
    <t xml:space="preserve">Accurate CO2 sensing needs an infrared (NDIR) sensor, and that part alone costs more than the whole $20 target in small batches. Cheap chips that claim to read CO2 actually estimate it from other gases and can be very wrong. Schools rarely have a budget line for air monitoring.</t>
  </si>
  <si>
    <t xml:space="preserve">• Sensor reads within ±100 ppm (plus a few %) of a reference meter from 400 to 2,000 ppm
• Full parts and build cost of $20 or less per unit at a 50-unit batch
• A teacher can read it at a glance (green/amber/red) without an app
• 50 units running in 10 classrooms for 4 weeks</t>
  </si>
  <si>
    <t xml:space="preserve">• No personal data: the sensor records CO2, temperature and time only, with no microphones and no cameras.
• Open hardware and firmware under an open licence (CERN-OHL and MIT).
• Safe power: USB power only and certified chargers. No mains wiring is done by players.
• Classroom trials only with the school's written OK.
• If the goal can't be met, stop and refund rather than quietly change it.</t>
  </si>
  <si>
    <t xml:space="preserve">• Cost versus accuracy: cheap 'eCO2' chips are inaccurate, and accurate NDIR sensors are expensive.
• Calibration: NDIR sensors drift and need a fresh-air baseline. Classrooms are rarely empty long enough for automatic calibration.
• Small batches cost more per unit: cases, boards and shipping are priced for volumes of 1,000 or more.
• Teachers need a simple signal, not a graph.</t>
  </si>
  <si>
    <t xml:space="preserve">• A school in Milan that hosted the pilot (Scuola Primaria Navigli, fictional)
• A maker space that lent a reference CO2 meter and a soldering bench (Officina Lambro, fictional)</t>
  </si>
  <si>
    <t xml:space="preserve">• NDIR CO2 sensor modules (open datasheets)
• ESP32 microcontroller and ESPHome / Arduino firmware
• CERN Open Hardware Licence v2
• UK Department for Education BB101 guidance on classroom ventilation (CO2 levels)
• ASHRAE Standard 62.1 (ventilation background)
• KiCad for the circuit board</t>
  </si>
  <si>
    <t xml:space="preserve">4 months, then stopped. A full run would have taken about 8 months. The slowest step was getting real quotes for 50-unit batches. That should have been done first.</t>
  </si>
  <si>
    <t xml:space="preserve">#</t>
  </si>
  <si>
    <t xml:space="preserve">Stage</t>
  </si>
  <si>
    <t xml:space="preserve">Goal (countable)</t>
  </si>
  <si>
    <t xml:space="preserve">Target</t>
  </si>
  <si>
    <t xml:space="preserve">Unit</t>
  </si>
  <si>
    <t xml:space="preserve">Progress</t>
  </si>
  <si>
    <t xml:space="preserve">% done</t>
  </si>
  <si>
    <t xml:space="preserve">Status</t>
  </si>
  <si>
    <t xml:space="preserve">In plain words</t>
  </si>
  <si>
    <t xml:space="preserve">Why this stage</t>
  </si>
  <si>
    <t xml:space="preserve">Workstreams</t>
  </si>
  <si>
    <t xml:space="preserve">How the roles fit together</t>
  </si>
  <si>
    <t xml:space="preserve">Done when</t>
  </si>
  <si>
    <t xml:space="preserve">Who approves</t>
  </si>
  <si>
    <t xml:space="preserve">Depends on</t>
  </si>
  <si>
    <t xml:space="preserve">Main risk</t>
  </si>
  <si>
    <t xml:space="preserve">Budget share</t>
  </si>
  <si>
    <t xml:space="preserve">Duration</t>
  </si>
  <si>
    <t xml:space="preserve">Recon</t>
  </si>
  <si>
    <t xml:space="preserve">Map every open brain tumour dataset</t>
  </si>
  <si>
    <t xml:space="preserve">datasets</t>
  </si>
  <si>
    <t xml:space="preserve">Done</t>
  </si>
  <si>
    <t xml:space="preserve">Find all the free data we can learn from.</t>
  </si>
  <si>
    <t xml:space="preserve">Every later step learns from this data, so we need to know what exists and what we may legally use.</t>
  </si>
  <si>
    <t xml:space="preserve">• Find datasets
• Record licence and access rules
• Note data quality and size</t>
  </si>
  <si>
    <t xml:space="preserve">The Planner sets the fields, Experts find datasets, the Maker builds the catalogue, and Checkers confirm each licence before it counts.</t>
  </si>
  <si>
    <t xml:space="preserve">40 datasets in the catalogue, each with a link, licence, size and an access note, checked by 2 Checkers.</t>
  </si>
  <si>
    <t xml:space="preserve">Mission creator + 2 Checkers</t>
  </si>
  <si>
    <t xml:space="preserve">Nothing</t>
  </si>
  <si>
    <t xml:space="preserve">Restricted-access data mistaken for open data.</t>
  </si>
  <si>
    <t xml:space="preserve">4–6 weeks</t>
  </si>
  <si>
    <t xml:space="preserve">Hypothesis</t>
  </si>
  <si>
    <t xml:space="preserve">Rank the top 50 drug targets</t>
  </si>
  <si>
    <t xml:space="preserve">targets</t>
  </si>
  <si>
    <t xml:space="preserve">Pick the weak spots in the tumour to aim at.</t>
  </si>
  <si>
    <t xml:space="preserve">Aiming the search beats searching everything.</t>
  </si>
  <si>
    <t xml:space="preserve">• Pull evidence from public platforms
• Score each target on agreed criteria
• Review the ranking</t>
  </si>
  <si>
    <t xml:space="preserve">The Leader sets the rule, the Maker pipes in public evidence, Experts score it, and Checkers re-check citations before the ranking is published.</t>
  </si>
  <si>
    <t xml:space="preserve">50 targets ranked, each with cited public evidence; 2 Checkers agree on the top 20.</t>
  </si>
  <si>
    <t xml:space="preserve">Mission creator + 2 expert Checkers</t>
  </si>
  <si>
    <t xml:space="preserve">Stage 1 catalogue</t>
  </si>
  <si>
    <t xml:space="preserve">Ranking driven by one dataset.</t>
  </si>
  <si>
    <t xml:space="preserve">6–8 weeks</t>
  </si>
  <si>
    <t xml:space="preserve">Simulate</t>
  </si>
  <si>
    <t xml:space="preserve">Shortlist 10 drug candidates</t>
  </si>
  <si>
    <t xml:space="preserve">candidates</t>
  </si>
  <si>
    <t xml:space="preserve">Now</t>
  </si>
  <si>
    <t xml:space="preserve">Find 10 drugs that might kill this tumour, and prove each one on real data.</t>
  </si>
  <si>
    <t xml:space="preserve">Computer screens are cheap; lab time is not, so we narrow down first.</t>
  </si>
  <si>
    <t xml:space="preserve">• Large compute screen (Fold Gang)
• Approved-drug review (Wet Hands)
• Generated designs (Swarm 404)
• Independent re-runs and reviews</t>
  </si>
  <si>
    <t xml:space="preserve">Patrons fund the compute, Makers run batches, Checkers re-run samples, and Experts add published evidence. The Leader applies the shortlist rule, and the Planner lines up lab quotes so Stage 4 can start.</t>
  </si>
  <si>
    <t xml:space="preserve">10 candidates, each with re-run results matching within the agreed tolerance and an evidence summary signed by an Expert and 2 Checkers.</t>
  </si>
  <si>
    <t xml:space="preserve">Mission creator + 2 Checkers + 1 outside Expert</t>
  </si>
  <si>
    <t xml:space="preserve">Stage 2 ranked targets</t>
  </si>
  <si>
    <t xml:space="preserve">False positives; unchecked generated designs.</t>
  </si>
  <si>
    <t xml:space="preserve">3–4 months</t>
  </si>
  <si>
    <t xml:space="preserve">Wet lab</t>
  </si>
  <si>
    <t xml:space="preserve">Test the top 10 in a partner lab</t>
  </si>
  <si>
    <t xml:space="preserve">drugs tested</t>
  </si>
  <si>
    <t xml:space="preserve">Locked</t>
  </si>
  <si>
    <t xml:space="preserve">Test the 10 on real tumour cells.</t>
  </si>
  <si>
    <t xml:space="preserve">Only real lab results show whether the computer was right.</t>
  </si>
  <si>
    <t xml:space="preserve">• Lab contract and budget
• Shipping and paperwork
• Independent result review</t>
  </si>
  <si>
    <t xml:space="preserve">Patrons fund the fees, the Planner books and ships, partner-lab staff test, Checkers review the report, and Storytellers publish all results.</t>
  </si>
  <si>
    <t xml:space="preserve">Partner lab report received for all 10, with raw data published and reviewed by 2 Checkers.</t>
  </si>
  <si>
    <t xml:space="preserve">Mission creator + 2 Checkers + partner lab sign-off</t>
  </si>
  <si>
    <t xml:space="preserve">Stage 3 shortlist and signed lab contract</t>
  </si>
  <si>
    <t xml:space="preserve">Lab slot delays; budget overrun.</t>
  </si>
  <si>
    <t xml:space="preserve">6–9 months</t>
  </si>
  <si>
    <t xml:space="preserve">Trial</t>
  </si>
  <si>
    <t xml:space="preserve">Request a pre-IND meeting with a trial sponsor</t>
  </si>
  <si>
    <t xml:space="preserve">filing</t>
  </si>
  <si>
    <t xml:space="preserve">Ask to test the best one in a few patients.</t>
  </si>
  <si>
    <t xml:space="preserve">Regulators decide whether a trial can start; we bring the open evidence to a sponsor who can run it.</t>
  </si>
  <si>
    <t xml:space="preserve">• Find a sponsor
• Assemble the data package
• Plain-language patient summary</t>
  </si>
  <si>
    <t xml:space="preserve">The Leader secures a sponsor, the Planner and an Expert consultant assemble the package, and Storytellers explain it to patients.</t>
  </si>
  <si>
    <t xml:space="preserve">A sponsor submits the meeting request with our package.</t>
  </si>
  <si>
    <t xml:space="preserve">Mission creator + sponsor + regulatory consultant</t>
  </si>
  <si>
    <t xml:space="preserve">Stage 4 results</t>
  </si>
  <si>
    <t xml:space="preserve">No sponsor willing.</t>
  </si>
  <si>
    <t xml:space="preserve">6–12 months</t>
  </si>
  <si>
    <t xml:space="preserve">Know what kills</t>
  </si>
  <si>
    <t xml:space="preserve">Choose the 20 emergencies where a bystander saves the most lives</t>
  </si>
  <si>
    <t xml:space="preserve">emergencies</t>
  </si>
  <si>
    <t xml:space="preserve">Find the emergencies where the first few minutes decide who lives</t>
  </si>
  <si>
    <t xml:space="preserve">Everything else multiplies by this list, so it must be right before we translate 1,000 times.</t>
  </si>
  <si>
    <t xml:space="preserve">• Choose and justify the 20 topics
• Write plain English master text
• Pilot the translate-and-check loop on 2 guides
• Recruit language leads</t>
  </si>
  <si>
    <t xml:space="preserve">Expert nurses propose and write masters, a User says what confuses them, then the Leader freezes the 20. The Planner turns the pilot timing from Checkers into a language plan while Storytellers recruit and Patrons fund the pay.</t>
  </si>
  <si>
    <t xml:space="preserve">20 master guides each under 250 words, each approved by 2 licensed nurses, and the pilot shows a check takes under 30 minutes.</t>
  </si>
  <si>
    <t xml:space="preserve">Mission creator + 2 nurse Checkers</t>
  </si>
  <si>
    <t xml:space="preserve">Agreed guideline sources (IFRC 2020)</t>
  </si>
  <si>
    <t xml:space="preserve">Endless debate over the last 6 topics; masters too long to translate well.</t>
  </si>
  <si>
    <t xml:space="preserve">Translate</t>
  </si>
  <si>
    <t xml:space="preserve">Translate them into 50 languages</t>
  </si>
  <si>
    <t xml:space="preserve">languages</t>
  </si>
  <si>
    <t xml:space="preserve">Agents draft, people who speak the language fix.</t>
  </si>
  <si>
    <t xml:space="preserve">Only once masters are frozen can we draft without redoing work.</t>
  </si>
  <si>
    <t xml:space="preserve">• Build a glossary per language (30 key terms)
• Agent drafts for all 20 guides
• Native-speaker fix pass
• Font and script checks</t>
  </si>
  <si>
    <t xml:space="preserve">Makers run agent drafts, Experts fix them using a Checker-approved glossary, and the Planner moves speakers to languages that lag.</t>
  </si>
  <si>
    <t xml:space="preserve">50 languages each have 20 fixed drafts and an approved glossary in Weblate.</t>
  </si>
  <si>
    <t xml:space="preserve">Language lead + 1 Checker per language</t>
  </si>
  <si>
    <t xml:space="preserve">Frozen master text and the Stage 1 pilot workflow</t>
  </si>
  <si>
    <t xml:space="preserve">No speakers found for the last 10 languages.</t>
  </si>
  <si>
    <t xml:space="preserve">Check</t>
  </si>
  <si>
    <t xml:space="preserve">A native speaker checks every guide</t>
  </si>
  <si>
    <t xml:space="preserve">guides checked</t>
  </si>
  <si>
    <t xml:space="preserve">Every guide is checked by someone who grew up speaking it.</t>
  </si>
  <si>
    <t xml:space="preserve">A second, independent speaker catches what the fixer missed before anything reaches the public.</t>
  </si>
  <si>
    <t xml:space="preserve">• Independent native-speaker check
• Back-translation of 1 in 10 to English
• Nurse review of flagged items</t>
  </si>
  <si>
    <t xml:space="preserve">Checkers mark every pair, back-translations flag risky lines for nurse Experts, and the Leader orders re-checks where a language fails.</t>
  </si>
  <si>
    <t xml:space="preserve">1,000 pairs marked checked; back-translated sample has zero safety-changing errors.</t>
  </si>
  <si>
    <t xml:space="preserve">2 Checkers per language + 1 nurse for flagged items</t>
  </si>
  <si>
    <t xml:space="preserve">Stage 2 drafts and glossaries</t>
  </si>
  <si>
    <t xml:space="preserve">Checker is the same person who translated; quality drifts.</t>
  </si>
  <si>
    <t xml:space="preserve">2–3 months</t>
  </si>
  <si>
    <t xml:space="preserve">Ready</t>
  </si>
  <si>
    <t xml:space="preserve">10,000 people have the guides on their phone or wall</t>
  </si>
  <si>
    <t xml:space="preserve">people</t>
  </si>
  <si>
    <t xml:space="preserve">Put the help where people will be when it happens</t>
  </si>
  <si>
    <t xml:space="preserve">Content only helps once it is on phones and walls.</t>
  </si>
  <si>
    <t xml:space="preserve">• Offline app
• Print-ready cards
• Local launch posts per language</t>
  </si>
  <si>
    <t xml:space="preserve">Makers package checked text, Checkers test on real phones, the Leader signs off, and Storytellers and Users spread it.</t>
  </si>
  <si>
    <t xml:space="preserve">App works offline on a 2 GB Android phone in all 50 languages; card PDFs print correctly on A5.</t>
  </si>
  <si>
    <t xml:space="preserve">Mission creator + 3 Checkers testing on real phones</t>
  </si>
  <si>
    <t xml:space="preserve">All 1,000 pairs checked</t>
  </si>
  <si>
    <t xml:space="preserve">App too big for cheap phones; nobody hears about it.</t>
  </si>
  <si>
    <t xml:space="preserve">Data</t>
  </si>
  <si>
    <t xml:space="preserve">Gather 20 billion words of open text in 22 languages</t>
  </si>
  <si>
    <t xml:space="preserve">Collect free, legal text in every Indian language.</t>
  </si>
  <si>
    <t xml:space="preserve">No model can be better than its text, and the tests must be frozen before training so they cannot leak in.</t>
  </si>
  <si>
    <t xml:space="preserve">• Find and licence-check sources for all 22 languages
• Clean, fix fonts, deduplicate and language-ID the text
• Build and test the shared tokenizer
• Write and freeze native test sets</t>
  </si>
  <si>
    <t xml:space="preserve">Expert finds and cleans licensed text → Maker dedups it and builds the tokenizer → Checker samples and audits licences → Leader freezes the corpus. Storyteller and Patron keep the rare-language Experts coming and paid.</t>
  </si>
  <si>
    <t xml:space="preserve">22 of 22 languages have at least 5 million clean words each, with 20 billion or more words in total. Every source has a licence-log line. 2 Checkers sample 200 lines per language and find 5% junk or less. Test sets are hashed and frozen.</t>
  </si>
  <si>
    <t xml:space="preserve">Mission creator + 2 Checkers per language (native speakers)</t>
  </si>
  <si>
    <t xml:space="preserve">Squads formed; licence policy agreed</t>
  </si>
  <si>
    <t xml:space="preserve">The smallest 6–8 languages stall below the floor because no licensed text exists and nobody can be found to write or clean it.</t>
  </si>
  <si>
    <t xml:space="preserve">12–16 weeks</t>
  </si>
  <si>
    <t xml:space="preserve">Train</t>
  </si>
  <si>
    <t xml:space="preserve">Train a 1–2 billion-parameter model on 64 GPUs</t>
  </si>
  <si>
    <t xml:space="preserve">trained model</t>
  </si>
  <si>
    <t xml:space="preserve">Teach the model from that text.</t>
  </si>
  <si>
    <t xml:space="preserve">Training only makes sense once the data and tokenizer are fixed. Every change after the run starts wastes GPU money.</t>
  </si>
  <si>
    <t xml:space="preserve">• Small test runs (100M–400M parameters) to set the language mix
• Main 1–2B run on 64 GPUs with checkpoints every 2 hours
• Instruction tuning on native-written examples</t>
  </si>
  <si>
    <t xml:space="preserve">Leader picks the size from the test runs → Patron funds the booking → Maker launches the crash-safe run → Expert-written instructions tune it → Checker confirms it trained cleanly.</t>
  </si>
  <si>
    <t xml:space="preserve">A 1–2B model finishes its planned token budget without lost progress. Loss curves and checkpoints are published. A quick check shows held-out loss falling in all 22 languages.</t>
  </si>
  <si>
    <t xml:space="preserve">Squad Leader + 2 Checkers (ML) who re-run 3 evaluation scripts on the final checkpoint</t>
  </si>
  <si>
    <t xml:space="preserve">Stage 1 corpus and tokenizer frozen; GPU booking paid</t>
  </si>
  <si>
    <t xml:space="preserve">GPU money runs out mid-run, or a bad data mix makes the model ignore the small languages.</t>
  </si>
  <si>
    <t xml:space="preserve">5–8 weeks</t>
  </si>
  <si>
    <t xml:space="preserve">Test</t>
  </si>
  <si>
    <t xml:space="preserve">Match or beat same-size open models in 15 of 22 languages</t>
  </si>
  <si>
    <t xml:space="preserve">Publish all 22 scores, wins and losses.</t>
  </si>
  <si>
    <t xml:space="preserve">A model is only useful if we can show, language by language, where it helps and where it does not.</t>
  </si>
  <si>
    <t xml:space="preserve">• Run open benchmarks (IN22, FLORES-200, IndicXTREME)
• Run the frozen native test sets
• Human grading of open-ended answers by native speakers
• Compare against open models of the same size</t>
  </si>
  <si>
    <t xml:space="preserve">Maker runs the benchmarks → Experts grade the open answers → Checker re-runs a sample → Leader signs the table → Storyteller publishes wins and losses.</t>
  </si>
  <si>
    <t xml:space="preserve">Scores for all 22 languages are published in one table with confidence ranges. The model matches or beats the same-size baselines in at least 15 languages. 2 Checkers re-run 10% of the scoring and get the same numbers within 1 point.</t>
  </si>
  <si>
    <t xml:space="preserve">Mission creator + 2 Checkers + 1 Expert per language for human grading</t>
  </si>
  <si>
    <t xml:space="preserve">Stage 2 final checkpoint</t>
  </si>
  <si>
    <t xml:space="preserve">Benchmarks for rare languages are too small to separate models, so 'wins' are noise.</t>
  </si>
  <si>
    <t xml:space="preserve">Ship</t>
  </si>
  <si>
    <t xml:space="preserve">Free download that runs on an 8 GB laptop, no GPU</t>
  </si>
  <si>
    <t xml:space="preserve">launch</t>
  </si>
  <si>
    <t xml:space="preserve">Anyone can use it, no cloud needed.</t>
  </si>
  <si>
    <t xml:space="preserve">A model nobody can run on the computer they have helps nobody.</t>
  </si>
  <si>
    <t xml:space="preserve">• 4-bit build and speed tests on 3 cheap laptops
• Model card, data card and licence log in plain words
• School pilot with offline install</t>
  </si>
  <si>
    <t xml:space="preserve">Maker shrinks the model → Checker times it on real laptops → Storyteller writes the model card → teachers (Users) install it offline → Leader releases it.</t>
  </si>
  <si>
    <t xml:space="preserve">Download is public. The 4-bit build runs at 10 or more tokens per second on an 8 GB laptop with no GPU. Model card lists all 22 scores. 10 pilot teachers have installed it offline.</t>
  </si>
  <si>
    <t xml:space="preserve">Mission creator + 2 Checkers who install it on their own laptops</t>
  </si>
  <si>
    <t xml:space="preserve">Stage 3 scores published</t>
  </si>
  <si>
    <t xml:space="preserve">4-bit quantisation hurts the smallest languages more than the big ones.</t>
  </si>
  <si>
    <t xml:space="preserve">3–5 weeks</t>
  </si>
  <si>
    <t xml:space="preserve">Loop</t>
  </si>
  <si>
    <t xml:space="preserve">An agent finishes a 15-min quest on its own</t>
  </si>
  <si>
    <t xml:space="preserve">working loop</t>
  </si>
  <si>
    <t xml:space="preserve">One agent can pick a quest, do it and hand it in.</t>
  </si>
  <si>
    <t xml:space="preserve">Nothing else matters until one agent can reliably pick, do and hand in a quest.</t>
  </si>
  <si>
    <t xml:space="preserve">• Core loop: plan → act → observe → hand in, with a turn cap
• Quest replay set: 20 recorded real quests
• Basic logs of every model and tool call</t>
  </si>
  <si>
    <t xml:space="preserve">Planner picks real quests → Maker records them as replays and builds the loop → Users try it on live quests → Checkers replay and confirm the pass rate → Leader closes the stage.</t>
  </si>
  <si>
    <t xml:space="preserve">The agent finishes a recorded 15-minute quest in at least 16 of 20 replay runs, stays under its turn and token caps, and leaves a full log.</t>
  </si>
  <si>
    <t xml:space="preserve">Mission creator + 2 Checkers who replay 5 runs</t>
  </si>
  <si>
    <t xml:space="preserve">Repo, CI and a model API key with a hard monthly cap</t>
  </si>
  <si>
    <t xml:space="preserve">The loop works on demo quests but loops forever or gives up on real ones.</t>
  </si>
  <si>
    <t xml:space="preserve">5–6 weeks</t>
  </si>
  <si>
    <t xml:space="preserve">Tools</t>
  </si>
  <si>
    <t xml:space="preserve">10 tools pass an attack test with zero unapproved actions</t>
  </si>
  <si>
    <t xml:space="preserve">tools</t>
  </si>
  <si>
    <t xml:space="preserve">GitHub, files, browser, payments… without doing anything you didn't allow.</t>
  </si>
  <si>
    <t xml:space="preserve">An agent is only useful with tools, and only safe if each tool is fenced in before more agents use it.</t>
  </si>
  <si>
    <t xml:space="preserve">• Permission manifests and the 'ask your human' rules
• Tools: GitHub, files, browser, payments and 6 more, each in a sandbox
• Spend caps with hold-then-pay and a ledger
• Red-team suite: prompt injection and over-spend attacks</t>
  </si>
  <si>
    <t xml:space="preserve">Planner's 'ask your human' rules → Leader turns them into one permission model → Makers build tools to it → Experts and Checkers attack those tools and turn every hit into a CI test → Users find what the attacks missed → Storyteller brings in the next builders, Patron pays for the runs.</t>
  </si>
  <si>
    <t xml:space="preserve">10 tools are merged, each with a manifest and sandbox. The red-team suite (100 or more attacks) runs in CI with zero unapproved writes, payments or secret leaks across 3 consecutive runs.</t>
  </si>
  <si>
    <t xml:space="preserve">Mission creator + 2 Checkers + 1 outside security Expert</t>
  </si>
  <si>
    <t xml:space="preserve">Stage 1 loop and replay set</t>
  </si>
  <si>
    <t xml:space="preserve">A tool that seems safe in tests leaks a token or pays twice when a web page carries a hidden instruction.</t>
  </si>
  <si>
    <t xml:space="preserve">8–10 weeks</t>
  </si>
  <si>
    <t xml:space="preserve">Review</t>
  </si>
  <si>
    <t xml:space="preserve">A checker agent catches 9 of 10 planted bad results</t>
  </si>
  <si>
    <t xml:space="preserve">% caught</t>
  </si>
  <si>
    <t xml:space="preserve">Two levels of checks: agent first, then human.</t>
  </si>
  <si>
    <t xml:space="preserve">Once agents can act, the bottleneck is human checking, and a good first-pass agent check cuts that load.</t>
  </si>
  <si>
    <t xml:space="preserve">• Checker agent with a separate prompt, model and context
• Planted-bad-results test set
• Human review queue with agent notes attached</t>
  </si>
  <si>
    <t xml:space="preserve">Experts plant bad results → Maker builds the checker agent → human Checkers measure what it misses → Planner sets what still needs a human → Storyteller publishes the numbers.</t>
  </si>
  <si>
    <t xml:space="preserve">On 50 planted bad results, the checker agent flags at least 45. On 100 real results, humans overturn fewer than 10 of its approvals. It cannot approve a payment alone.</t>
  </si>
  <si>
    <t xml:space="preserve">Mission creator + 3 human Checkers</t>
  </si>
  <si>
    <t xml:space="preserve">Stage 2 tools and logs; replay set</t>
  </si>
  <si>
    <t xml:space="preserve">The checker agent rubber-stamps whatever the maker agent did, because it shares its blind spots.</t>
  </si>
  <si>
    <t xml:space="preserve">Scale</t>
  </si>
  <si>
    <t xml:space="preserve">1,000 agents run for 72 hours, money right to the cent</t>
  </si>
  <si>
    <t xml:space="preserve">agents</t>
  </si>
  <si>
    <t xml:space="preserve">Many agents, zero wrong payments.</t>
  </si>
  <si>
    <t xml:space="preserve">Bugs with money show up only at scale, under retries and races.</t>
  </si>
  <si>
    <t xml:space="preserve">• 1,000-agent load test in sandboxes
• Ledger reconciliation and payment idempotency
• Traces, cost per quest and runaway-spend alerts</t>
  </si>
  <si>
    <t xml:space="preserve">Patron funds the run → Maker launches 1,000 agents → Expert's drills break things on purpose → Checker reconciles the ledger → Leader decides whether real money can flow.</t>
  </si>
  <si>
    <t xml:space="preserve">1,000 agents run at once for 72 hours. Ledger totals match the payment sandbox to the cent. There are zero double or unapproved payments, and every spend alert fires within 60 seconds in a drill.</t>
  </si>
  <si>
    <t xml:space="preserve">Mission creator + 2 Checkers + the patron sandbox provider's report</t>
  </si>
  <si>
    <t xml:space="preserve">Stage 3 review step live</t>
  </si>
  <si>
    <t xml:space="preserve">A retry storm during an outage creates duplicate payments that only show up days later.</t>
  </si>
  <si>
    <t xml:space="preserve">Pilot</t>
  </si>
  <si>
    <t xml:space="preserve">Label 1,000 satellite photos</t>
  </si>
  <si>
    <t xml:space="preserve">photos</t>
  </si>
  <si>
    <t xml:space="preserve">Teach the computer what a reef looks like from space.</t>
  </si>
  <si>
    <t xml:space="preserve">Before anyone dives, the model must know where reef is and what it looks like from space.</t>
  </si>
  <si>
    <t xml:space="preserve">• Outline reef edges on satellite tiles
• Label cover classes on 1,000 tiles
• Pick candidate survey sites</t>
  </si>
  <si>
    <t xml:space="preserve">Maker cuts tiles → Experts label them → Checkers measure agreement → Planner turns the labelled map into a list of survey sites.</t>
  </si>
  <si>
    <t xml:space="preserve">1,000 tiles are labelled; 2 Checkers re-label 100 at random and agree on at least 85%.</t>
  </si>
  <si>
    <t xml:space="preserve">Allen Coral Atlas reef extent; Sentinel-2 archive</t>
  </si>
  <si>
    <t xml:space="preserve">Labellers confuse sand and bleached coral.</t>
  </si>
  <si>
    <t xml:space="preserve">Ground truth</t>
  </si>
  <si>
    <t xml:space="preserve">Check the health of 200 reefs on site</t>
  </si>
  <si>
    <t xml:space="preserve">survey sites</t>
  </si>
  <si>
    <t xml:space="preserve">Divers check 200 reefs so we know the map is right.</t>
  </si>
  <si>
    <t xml:space="preserve">The satellite guess is only as good as the on-site truth it learns from.</t>
  </si>
  <si>
    <t xml:space="preserve">• Dive surveys at 18 m or shallower (Cebu, Bohol, Fiji)
• Snorkel surveys on reef flats under 3 m
• Check reports against their photos
• Match each site to its nearest cloud-free image</t>
  </si>
  <si>
    <t xml:space="preserve">Patron funds boats → Planner books them → Leader picks the sites → Experts dive and Users snorkel → Checkers pass the reports → Maker ties each site to a satellite pixel, ready for the model. Storyteller keeps divers and Checkers coming.</t>
  </si>
  <si>
    <t xml:space="preserve">200 sites are scored with photo-quadrats and GPS, each within 30 days of a cloud-free image. A Checker has passed every report.</t>
  </si>
  <si>
    <t xml:space="preserve">Mission creator + 2 Checkers (1 marine biologist)</t>
  </si>
  <si>
    <t xml:space="preserve">Stage 1 site list; scoring guide; permits</t>
  </si>
  <si>
    <t xml:space="preserve">Money for boat days runs out (it has, at 74), and unchecked reports pile up.</t>
  </si>
  <si>
    <t xml:space="preserve">4–6 months</t>
  </si>
  <si>
    <t xml:space="preserve">Model</t>
  </si>
  <si>
    <t xml:space="preserve">Map is right 8 times out of 10 (healthy, bleached, dead)</t>
  </si>
  <si>
    <t xml:space="preserve">% right</t>
  </si>
  <si>
    <t xml:space="preserve">Right 8 times out of 10, checked against divers.</t>
  </si>
  <si>
    <t xml:space="preserve">With checked ground truth, a model can spread 200 sites' worth of knowledge across thousands of reefs.</t>
  </si>
  <si>
    <t xml:space="preserve">• Train the cover-class model
• Test on 40 held-back sites
• Human check of agent-made maps</t>
  </si>
  <si>
    <t xml:space="preserve">Maker trains the model → Expert reviews where it fails → Checker re-runs the held-back test → Leader signs off → Storyteller writes the limits in plain words.</t>
  </si>
  <si>
    <t xml:space="preserve">80% or better balanced accuracy on 40 held-back sites, with results confirmed by 2 Checkers re-running the test.</t>
  </si>
  <si>
    <t xml:space="preserve">Mission creator + 2 Checkers + 1 outside remote-sensing Expert</t>
  </si>
  <si>
    <t xml:space="preserve">160 training sites and 40 held-back sites from Stage 2</t>
  </si>
  <si>
    <t xml:space="preserve">The model learns depth or water colour instead of coral health.</t>
  </si>
  <si>
    <t xml:space="preserve">Warn</t>
  </si>
  <si>
    <t xml:space="preserve">50 reef keepers get a weekly heat-stress warning</t>
  </si>
  <si>
    <t xml:space="preserve">reef keepers</t>
  </si>
  <si>
    <t xml:space="preserve">Tell the people who look after reefs, every week, before it's too late</t>
  </si>
  <si>
    <t xml:space="preserve">A map only helps if rangers can open it every week without asking anyone.</t>
  </si>
  <si>
    <t xml:space="preserve">• Weekly pipeline: heat stress + new images → map
• Public web map and download
• Feedback from 3 reef managers</t>
  </si>
  <si>
    <t xml:space="preserve">Maker automates the pipeline → Checker spot-checks each week → Storyteller trains rangers → rangers (Users) report errors that become new ground truth.</t>
  </si>
  <si>
    <t xml:space="preserve">The map runs on its own for 8 weeks with no missed weekly update. 3 reef managers confirm in writing that they used it.</t>
  </si>
  <si>
    <t xml:space="preserve">Mission creator + 2 Checkers + feedback from partner rangers</t>
  </si>
  <si>
    <t xml:space="preserve">Stage 3 model approved</t>
  </si>
  <si>
    <t xml:space="preserve">The pipeline breaks quietly and the map goes stale.</t>
  </si>
  <si>
    <t xml:space="preserve">2 months, then ongoing</t>
  </si>
  <si>
    <t xml:space="preserve">Records</t>
  </si>
  <si>
    <t xml:space="preserve">Get the city's water pipe records</t>
  </si>
  <si>
    <t xml:space="preserve">record set</t>
  </si>
  <si>
    <t xml:space="preserve">Find out what the city already knows.</t>
  </si>
  <si>
    <t xml:space="preserve">Start from what the city already knows so residents only check the lines nobody has confirmed.</t>
  </si>
  <si>
    <t xml:space="preserve">• Read and summarise the public inventory
• Records request for the 'unknown' details
• Photo form, ID guide and privacy rules
• Win the 150 backers needed to launch</t>
  </si>
  <si>
    <t xml:space="preserve">Expert reads the inventory → Planner asks for what's missing → Expert writes the ID guide → Checker tests it → Maker builds the form to the Leader's privacy rules → Storyteller and Patrons get it launched → Users find out if their line is 'unknown'.</t>
  </si>
  <si>
    <t xml:space="preserve">Every inventory address is joined to a block, with counts of lead, non-lead and unknown. The records request is answered or past its deadline. The photo form passes a privacy check.</t>
  </si>
  <si>
    <t xml:space="preserve">150 backers so the mission launches</t>
  </si>
  <si>
    <t xml:space="preserve">The inventory is hard to parse or the records reply is slow.</t>
  </si>
  <si>
    <t xml:space="preserve">Photos</t>
  </si>
  <si>
    <t xml:space="preserve">Photo 1,000 pipes at addresses the city marks 'unknown'</t>
  </si>
  <si>
    <t xml:space="preserve">People photo the pipe at home. Agents spot lead.</t>
  </si>
  <si>
    <t xml:space="preserve">Residents can confirm their own pipe faster and cheaper than any crew.</t>
  </si>
  <si>
    <t xml:space="preserve">• Resident photos of 'unknown' lines
• Agent first pass, human Checker second
• Plumber spot-checks of 40 random homes</t>
  </si>
  <si>
    <t xml:space="preserve">Storyteller brings in residents → Users photograph → agents make a first call → Checkers confirm → Experts settle hard cases → the plumber check proves accuracy.</t>
  </si>
  <si>
    <t xml:space="preserve">1,000 photos of 'unknown' lines are checked. A plumber's check agrees with the photo call on at least 36 of 40 homes.</t>
  </si>
  <si>
    <t xml:space="preserve">Mission creator + 2 Checkers + plumber co-op report</t>
  </si>
  <si>
    <t xml:space="preserve">Stage 1 form and guide</t>
  </si>
  <si>
    <t xml:space="preserve">Photos come mostly from owner-occupied homes, not the rentals that matter most.</t>
  </si>
  <si>
    <t xml:space="preserve">4–5 months</t>
  </si>
  <si>
    <t xml:space="preserve">Map</t>
  </si>
  <si>
    <t xml:space="preserve">Public map of every lead pipe</t>
  </si>
  <si>
    <t xml:space="preserve">Anyone can check their street.</t>
  </si>
  <si>
    <t xml:space="preserve">A map turns 1,000 private checks into a public picture the city can act on.</t>
  </si>
  <si>
    <t xml:space="preserve">• Block-level map
• Gaps layer (where data is missing)
• Monthly refresh</t>
  </si>
  <si>
    <t xml:space="preserve">Maker joins photos and inventory into blocks → Leader enforces the privacy floor → Checkers trace a sample → Storyteller launches it → Users find their street and send corrections.</t>
  </si>
  <si>
    <t xml:space="preserve">The map is live, showing every block with lead, non-lead and unknown counts and the date of the last update. 2 Checkers trace 20 blocks back to source.</t>
  </si>
  <si>
    <t xml:space="preserve">Stage 2 checked photos</t>
  </si>
  <si>
    <t xml:space="preserve">A house becomes identifiable on a block with only 1–2 homes.</t>
  </si>
  <si>
    <t xml:space="preserve">Plan</t>
  </si>
  <si>
    <t xml:space="preserve">The city publishes a dated plan to replace 500 lead lines first</t>
  </si>
  <si>
    <t xml:space="preserve">pipes</t>
  </si>
  <si>
    <t xml:space="preserve">Get a promise with dates, homes with kids first</t>
  </si>
  <si>
    <t xml:space="preserve">The map only matters if it changes the replacement order.</t>
  </si>
  <si>
    <t xml:space="preserve">• Share data with the water department
• Public comment at a City Commission meeting
• Track the plan for 12 months</t>
  </si>
  <si>
    <t xml:space="preserve">Leader hands the data to the water department → Storyteller speaks in public comment → Checker confirms the published plan → Planner tracks it every month.</t>
  </si>
  <si>
    <t xml:space="preserve">The city publishes a dated plan covering at least 500 confirmed lead lines, and the plan is linked from the map.</t>
  </si>
  <si>
    <t xml:space="preserve">Mission creator + 2 Checkers reading the city's published plan</t>
  </si>
  <si>
    <t xml:space="preserve">Stage 3 map live</t>
  </si>
  <si>
    <t xml:space="preserve">The city says it will use the data but sets no date.</t>
  </si>
  <si>
    <t xml:space="preserve">2–3 months, then 12 months of tracking</t>
  </si>
  <si>
    <t xml:space="preserve">Curriculum</t>
  </si>
  <si>
    <t xml:space="preserve">Write down what kids learn in maths in 10 countries</t>
  </si>
  <si>
    <t xml:space="preserve">countries</t>
  </si>
  <si>
    <t xml:space="preserve">Know what each class needs to learn.</t>
  </si>
  <si>
    <t xml:space="preserve">The tutor and the test must match what each country's children are actually taught.</t>
  </si>
  <si>
    <t xml:space="preserve">• Map each national maths curriculum for 3 grades
• Build a shared skill list (about 60 skills)
• Collect local maths words per language</t>
  </si>
  <si>
    <t xml:space="preserve">The Leader picks the scope, Planners map curricula with Expert teachers' words, and Checkers sign off each country map. That becomes the app's content list.</t>
  </si>
  <si>
    <t xml:space="preserve">10 country maps link each curriculum line to a shared skill ID, and a local teacher has checked each map.</t>
  </si>
  <si>
    <t xml:space="preserve">Mission creator + 1 teacher Checker per country</t>
  </si>
  <si>
    <t xml:space="preserve">Public national curriculum documents</t>
  </si>
  <si>
    <t xml:space="preserve">Out-of-date curriculum PDFs; regions differ inside a country.</t>
  </si>
  <si>
    <t xml:space="preserve">App</t>
  </si>
  <si>
    <t xml:space="preserve">Tutor works on a $50 phone with no internet</t>
  </si>
  <si>
    <t xml:space="preserve">working app</t>
  </si>
  <si>
    <t xml:space="preserve">It runs on cheap phones, offline.</t>
  </si>
  <si>
    <t xml:space="preserve">Only once content is known can we build and size the app.</t>
  </si>
  <si>
    <t xml:space="preserve">• Offline app shell and exercises
• Tiny on-device hint model
• Translations into 10 languages
• Battery and storage tests</t>
  </si>
  <si>
    <t xml:space="preserve">Makers build to the skill list, Experts translate, Checkers break it on cheap phones, and the Leader cuts features until it fits.</t>
  </si>
  <si>
    <t xml:space="preserve">App under 150 MB runs a full 20-minute session offline on 3 reference phones (1 GB and 2 GB RAM) without crashing.</t>
  </si>
  <si>
    <t xml:space="preserve">3 Checkers on real phones + Leader</t>
  </si>
  <si>
    <t xml:space="preserve">Stage 1 skill list</t>
  </si>
  <si>
    <t xml:space="preserve">Model too big; translations late.</t>
  </si>
  <si>
    <t xml:space="preserve">500 kids use it for 4 weeks</t>
  </si>
  <si>
    <t xml:space="preserve">kids</t>
  </si>
  <si>
    <t xml:space="preserve">Real kids use it in real schools.</t>
  </si>
  <si>
    <t xml:space="preserve">Real use in real classes is the only way to see if it works.</t>
  </si>
  <si>
    <t xml:space="preserve">• School agreements and parent consent
• Teacher training (1 hour)
• Start test (baseline)
• 4 weeks of use with usage logs</t>
  </si>
  <si>
    <t xml:space="preserve">The Leader gets permission, Planners pick fair class pairs, Experts train teachers, Users run the start test, and Checkers audit consent and logs before any data counts.</t>
  </si>
  <si>
    <t xml:space="preserve">500 consented children in 25 classes took the start test and logged at least 12 sessions each, and a comparison class exists in each school.</t>
  </si>
  <si>
    <t xml:space="preserve">Leader + head teacher of each school + 2 Checkers</t>
  </si>
  <si>
    <t xml:space="preserve">Working app; translated start test</t>
  </si>
  <si>
    <t xml:space="preserve">Consent delays; phones lost or uncharged.</t>
  </si>
  <si>
    <t xml:space="preserve">3 months (including permissions)</t>
  </si>
  <si>
    <t xml:space="preserve">Results</t>
  </si>
  <si>
    <t xml:space="preserve">Scores rise 10% and beat comparison classes in all 10 countries</t>
  </si>
  <si>
    <t xml:space="preserve">Prove it helps. 9 countries done, 1 to go.</t>
  </si>
  <si>
    <t xml:space="preserve">Without fair results nobody should scale it.</t>
  </si>
  <si>
    <t xml:space="preserve">• End test in Kenya
• Re-check scores from all 10 countries
• Results dashboard and report
• Teacher stories</t>
  </si>
  <si>
    <t xml:space="preserve">The Expert checks the test, the Planner books the day, a User runs it, Checkers re-score, the Maker charts it, the Leader rules on honest wording, and the Storyteller publishes.</t>
  </si>
  <si>
    <t xml:space="preserve">Scores for all 10 countries are re-checked by 2 Checkers, and the report shows each country's change against its comparison class, with sample sizes.</t>
  </si>
  <si>
    <t xml:space="preserve">Mission creator + 2 Checkers + outside reviewer</t>
  </si>
  <si>
    <t xml:space="preserve">Start-test scores and consent from Stage 3</t>
  </si>
  <si>
    <t xml:space="preserve">The Kenya test slips past the end of term; unclear or overstated results.</t>
  </si>
  <si>
    <t xml:space="preserve">Schemes</t>
  </si>
  <si>
    <t xml:space="preserve">List 50 schemes in plain words</t>
  </si>
  <si>
    <t xml:space="preserve">schemes</t>
  </si>
  <si>
    <t xml:space="preserve">Write what each scheme gives and who can get it.</t>
  </si>
  <si>
    <t xml:space="preserve">You can't help a family until you know exactly what each scheme gives, who qualifies and which papers it needs.</t>
  </si>
  <si>
    <t xml:space="preserve">• Write 50 plain scheme cards from official orders
• List the documents each scheme needs
• Check every card against the live portal</t>
  </si>
  <si>
    <t xml:space="preserve">Planner picks the 50 schemes → Expert writes each card from the order → Checker re-checks it against the source → Maker loads the checked cards into the sheet the helper and volunteers share.</t>
  </si>
  <si>
    <t xml:space="preserve">50 cards exist, each with benefit, eligibility, documents, where to apply and a link to the official source dated within 12 months, and each signed off by 2 Checkers.</t>
  </si>
  <si>
    <t xml:space="preserve">Cards copied from blogs instead of government orders, so amounts or age limits are wrong.</t>
  </si>
  <si>
    <t xml:space="preserve">3–4 weeks</t>
  </si>
  <si>
    <t xml:space="preserve">Helper</t>
  </si>
  <si>
    <t xml:space="preserve">Families can ask about schemes in 6 languages</t>
  </si>
  <si>
    <t xml:space="preserve">A family can ask in their own language and get a clear answer.</t>
  </si>
  <si>
    <t xml:space="preserve">Families need clear answers in their own language before anyone asks them to apply.</t>
  </si>
  <si>
    <t xml:space="preserve">• WhatsApp helper with text and voice notes, one language at a time
• Native-speaker test panels per language
• Paper and voice script for village volunteers who work offline
• Map the form-help NGOs and CSCs in Sitapur and Banda</t>
  </si>
  <si>
    <t xml:space="preserve">Expert writes a language pack → Maker builds it into the helper → Users test it in their own language → Checker scores the answers, and only passing languages go live. Storytellers recruit testers and volunteers, and Patrons pay the messaging bill.</t>
  </si>
  <si>
    <t xml:space="preserve">For each of 6 languages, 3 native speakers each ask 10 set questions; at least 90% of answers are correct and no answer asks for an Aadhaar number, OTP or bank PIN.</t>
  </si>
  <si>
    <t xml:space="preserve">Mission creator + 2 Checkers who speak that language</t>
  </si>
  <si>
    <t xml:space="preserve">Stage 1 scheme cards</t>
  </si>
  <si>
    <t xml:space="preserve">The bot sounds confident but gives a wrong eligibility answer, and a family wastes a trip to the tehsil.</t>
  </si>
  <si>
    <t xml:space="preserve">Apply</t>
  </si>
  <si>
    <t xml:space="preserve">1,000 families in 2 districts apply</t>
  </si>
  <si>
    <t xml:space="preserve">families</t>
  </si>
  <si>
    <t xml:space="preserve">Help families fill and send the forms.</t>
  </si>
  <si>
    <t xml:space="preserve">Knowing is not enough. Families need hands-on help to get certificates and submit complete forms.</t>
  </si>
  <si>
    <t xml:space="preserve">• Volunteers sit with families and list missing schemes and papers
• Certificate runs to CSCs and tehsils
• Aadhaar-bank seeding camps
• Pre-submission checklist checks</t>
  </si>
  <si>
    <t xml:space="preserve">Users find each family's gaps → Leaders take them to the CSC for certificates → Checkers clear the form → the family submits and gets a registration number, which the Maker's tracker logs.</t>
  </si>
  <si>
    <t xml:space="preserve">1,000 unique families have at least one application with an official registration or acknowledgement number that shows on the portal's status page; Checkers confirm 10% at random.</t>
  </si>
  <si>
    <t xml:space="preserve">Mission creator + 2 Checkers + 1 NGO Bridge field lead</t>
  </si>
  <si>
    <t xml:space="preserve">Helper live in Awadhi and Bundeli; at least 20 trained volunteers</t>
  </si>
  <si>
    <t xml:space="preserve">Tehsil certificate backlogs or CSC overcharging stall applications, and volunteers lose heart.</t>
  </si>
  <si>
    <t xml:space="preserve">Paid</t>
  </si>
  <si>
    <t xml:space="preserve">750 families get their money</t>
  </si>
  <si>
    <t xml:space="preserve">About 3 in 4 complete applications get approved and paid.</t>
  </si>
  <si>
    <t xml:space="preserve">A benefit only counts when the money or grain actually reaches the family.</t>
  </si>
  <si>
    <t xml:space="preserve">• Track application status every 2 weeks
• Fix DBT failures (seeding, name mismatch, dormant accounts)
• Escalate stuck cases through IGRS or RTI
• Record consented family stories</t>
  </si>
  <si>
    <t xml:space="preserve">Checker finds a failed payment → Expert names the cause → Planner books the bank or office fix → Leader escalates if it is still stuck. Storytellers share the wins so more families apply.</t>
  </si>
  <si>
    <t xml:space="preserve">750 families show a first credit in their passbook or 'paid' on the official status page; a Checker confirms 10% with the family present.</t>
  </si>
  <si>
    <t xml:space="preserve">Stage 3 applications with registration numbers</t>
  </si>
  <si>
    <t xml:space="preserve">Applications are sanctioned but payments bounce, and no one notices for a whole quarter.</t>
  </si>
  <si>
    <t xml:space="preserve">3–6 months</t>
  </si>
  <si>
    <t xml:space="preserve">Collect</t>
  </si>
  <si>
    <t xml:space="preserve">Get the public affidavit of all 310 candidates</t>
  </si>
  <si>
    <t xml:space="preserve">affidavits</t>
  </si>
  <si>
    <t xml:space="preserve">Every candidate files these papers by law.</t>
  </si>
  <si>
    <t xml:space="preserve">Nothing can be written until every affidavit is in hand and matched to the final candidate list.</t>
  </si>
  <si>
    <t xml:space="preserve">• Download all affidavits
• Match each one to Form 7A after withdrawals
• Log file hash and page count</t>
  </si>
  <si>
    <t xml:space="preserve">Planner tracks when each list is final → Maker downloads and hashes the files → Expert flags incomplete affidavits → Checker matches all of them to Form 7A, so the count is locked before writing starts.</t>
  </si>
  <si>
    <t xml:space="preserve">310 PDFs stored with a SHA-256 hash, each matched to exactly one Form 7A entry, and the count equals contesting candidates in all 21 seats.</t>
  </si>
  <si>
    <t xml:space="preserve">Final Form 7A lists published after the last date of withdrawal</t>
  </si>
  <si>
    <t xml:space="preserve">A late withdrawal or a same-name candidate leaves a wrong or missing affidavit.</t>
  </si>
  <si>
    <t xml:space="preserve">3–4 days</t>
  </si>
  <si>
    <t xml:space="preserve">One-pagers</t>
  </si>
  <si>
    <t xml:space="preserve">A plain one-page profile for every candidate</t>
  </si>
  <si>
    <t xml:space="preserve">profiles</t>
  </si>
  <si>
    <t xml:space="preserve">Cases, assets, education. Same page for everyone.</t>
  </si>
  <si>
    <t xml:space="preserve">Voters need the same short page for every candidate, in their own language, before anything can be checked or shared.</t>
  </si>
  <si>
    <t xml:space="preserve">• OCR pre-fill and human data entry
• Plain-language case glossary
• Marathi translation
• Phone layout and readability tests</t>
  </si>
  <si>
    <t xml:space="preserve">Maker's OCR draft → Expert writes the profile using the glossary → Checker traces each fact to its page → Expert translates it into Marathi → Users test it on phones. Leader and Planner keep it neutral and on schedule, while Storyteller and Patron bring in people and money.</t>
  </si>
  <si>
    <t xml:space="preserve">310 profiles exist in Marathi and English; every field is filled or marked 'Not declared'; every fact has a page reference; each has passed a first check.</t>
  </si>
  <si>
    <t xml:space="preserve">Mission creator + 1 Checker per profile</t>
  </si>
  <si>
    <t xml:space="preserve">Stage 1 hashed affidavits; the template</t>
  </si>
  <si>
    <t xml:space="preserve">Rushing leads to typos in asset figures or case counts.</t>
  </si>
  <si>
    <t xml:space="preserve">7–8 days</t>
  </si>
  <si>
    <t xml:space="preserve">2 checkers verify every profile</t>
  </si>
  <si>
    <t xml:space="preserve">Nothing goes out unchecked.</t>
  </si>
  <si>
    <t xml:space="preserve">Nothing goes out with a mistake. A second independent check and a correction window protect voters and the mission.</t>
  </si>
  <si>
    <t xml:space="preserve">• Second independent check
• Candidate correction window
• Legal read of every profile with criminal cases
• Equal-treatment audit</t>
  </si>
  <si>
    <t xml:space="preserve">Checker's second pass flags issues → Leader resolves requests from candidates → Expert clears risky wording → Planner confirms everyone got identical treatment → Maker freezes the final version.</t>
  </si>
  <si>
    <t xml:space="preserve">Each profile is signed by 2 different Checkers who didn't write it, has zero open disputes, and every profile listing a case has had a legal read.</t>
  </si>
  <si>
    <t xml:space="preserve">Mission creator + 2 Checkers + legal adviser</t>
  </si>
  <si>
    <t xml:space="preserve">Stage 2 profiles with page references</t>
  </si>
  <si>
    <t xml:space="preserve">A disputed profile stalls the whole constituency, or a legal notice arrives mid-check.</t>
  </si>
  <si>
    <t xml:space="preserve">Share</t>
  </si>
  <si>
    <t xml:space="preserve">Reach 1 lakh voters before voting day</t>
  </si>
  <si>
    <t xml:space="preserve">voters</t>
  </si>
  <si>
    <t xml:space="preserve">Send them by WhatsApp before people vote.</t>
  </si>
  <si>
    <t xml:space="preserve">Profiles only matter if voters see them before they vote.</t>
  </si>
  <si>
    <t xml:space="preserve">• One link and QR code per constituency
• Sharing through housing societies, colleges and community groups
• Privacy-safe visit counter
• Hard stop at the silence period</t>
  </si>
  <si>
    <t xml:space="preserve">Storyteller writes one neutral message → Users share it in their own groups → Maker's counter tracks reach → Checkers catch fakes → Leader stops everything on time.</t>
  </si>
  <si>
    <t xml:space="preserve">1,00,000 unique visits to profile pages before the 48-hour silence period begins, counted without storing personal data; zero paid ads; all sharing stopped on time.</t>
  </si>
  <si>
    <t xml:space="preserve">Stage 3 frozen profiles</t>
  </si>
  <si>
    <t xml:space="preserve">Screenshots get edited and forwarded under the mission's name.</t>
  </si>
  <si>
    <t xml:space="preserve">5–6 days</t>
  </si>
  <si>
    <t xml:space="preserve">Pin 5,000 potholes</t>
  </si>
  <si>
    <t xml:space="preserve">potholes</t>
  </si>
  <si>
    <t xml:space="preserve">Photo and pin every pothole you pass.</t>
  </si>
  <si>
    <t xml:space="preserve">You can't file or chase what nobody has located and proved with a photo.</t>
  </si>
  <si>
    <t xml:space="preserve">• Riders and commuters pin on daily routes
• Duplicate checks
• Road-owner tagging
• Ward scoreboard</t>
  </si>
  <si>
    <t xml:space="preserve">Planner picks wards → Leader brings riders in → Users pin → Checker removes repeats → Expert tags the road owner → Maker's scoreboard shows each ward's count. Storyteller recruits more riders and Patron pays for the pins.</t>
  </si>
  <si>
    <t xml:space="preserve">5,000 unique pins, each with photo, GPS, timestamp, size class and road owner; duplicates removed; a 5% random re-visit confirms at least 95% are real.</t>
  </si>
  <si>
    <t xml:space="preserve">Pin form and the first 20 wards chosen</t>
  </si>
  <si>
    <t xml:space="preserve">Duplicate or fake pins inflate the count, or someone gets hurt taking a photo.</t>
  </si>
  <si>
    <t xml:space="preserve">File</t>
  </si>
  <si>
    <t xml:space="preserve">File every pothole with the city</t>
  </si>
  <si>
    <t xml:space="preserve">complaints</t>
  </si>
  <si>
    <t xml:space="preserve">Agents file the complaints for you.</t>
  </si>
  <si>
    <t xml:space="preserve">A pothole only enters the city's system once it has an official complaint ID.</t>
  </si>
  <si>
    <t xml:space="preserve">• Draft complaint text per pin
• Humans file from their own accounts
• Route non-city roads to the right owner</t>
  </si>
  <si>
    <t xml:space="preserve">Expert decides the owner → Maker drafts the complaint → Planner hands batches to many Users → Users file them → Checker confirms each ID is real.</t>
  </si>
  <si>
    <t xml:space="preserve">Every verified pin has an official complaint ID, or a logged reason why not (for example a private road); 10% of IDs are looked up and confirmed.</t>
  </si>
  <si>
    <t xml:space="preserve">Stage 1 verified, owner-tagged pins</t>
  </si>
  <si>
    <t xml:space="preserve">Accounts get flagged for bulk filing, or complaints bounce as 'not our jurisdiction'.</t>
  </si>
  <si>
    <t xml:space="preserve">Track</t>
  </si>
  <si>
    <t xml:space="preserve">Chase every complaint until it's fixed</t>
  </si>
  <si>
    <t xml:space="preserve">Follow up so none are forgotten.</t>
  </si>
  <si>
    <t xml:space="preserve">Complaints get forgotten without steady, polite follow-up.</t>
  </si>
  <si>
    <t xml:space="preserve">• Follow-ups at day 15, 30 and 60
• Escalation to ward engineers
• Ward committee meetings
• Weekly scoreboard</t>
  </si>
  <si>
    <t xml:space="preserve">Maker's scoreboard flags stale complaints → Planner queues them → Leader escalates → Storyteller puts ward numbers in front of officials in public meetings.</t>
  </si>
  <si>
    <t xml:space="preserve">Every open complaint has a logged follow-up at day 15, 30 and 60, and every complaint older than 30 days has been escalated with a reply recorded or an RTI filed.</t>
  </si>
  <si>
    <t xml:space="preserve">Stage 2 complaint IDs</t>
  </si>
  <si>
    <t xml:space="preserve">Complaints are closed without work and the closures go unnoticed.</t>
  </si>
  <si>
    <t xml:space="preserve">90 days per batch</t>
  </si>
  <si>
    <t xml:space="preserve">Fixed</t>
  </si>
  <si>
    <t xml:space="preserve">80% fixed within 90 days</t>
  </si>
  <si>
    <t xml:space="preserve">% fixed</t>
  </si>
  <si>
    <t xml:space="preserve">Most of them actually get fixed.</t>
  </si>
  <si>
    <t xml:space="preserve">The only result that matters is a road you can ride over safely.</t>
  </si>
  <si>
    <t xml:space="preserve">• After-photo visits
• Repair-quality judgement
• 90-day ward report</t>
  </si>
  <si>
    <t xml:space="preserve">Checker photographs each closure → Expert judges the repair → Planner counts the fix rate per ward → Storyteller shares the report.</t>
  </si>
  <si>
    <t xml:space="preserve">At least 80% of filed potholes have an after-photo, taken within 90 days of filing by someone other than the original pinner, showing a level repair; sunken or crumbling patches count as not fixed.</t>
  </si>
  <si>
    <t xml:space="preserve">Mission creator + 2 Checkers + road-engineer adviser</t>
  </si>
  <si>
    <t xml:space="preserve">Stage 3 tracked complaints</t>
  </si>
  <si>
    <t xml:space="preserve">Monsoon patches fail before day 90 and the result drops.</t>
  </si>
  <si>
    <t xml:space="preserve">Pick</t>
  </si>
  <si>
    <t xml:space="preserve">Pick 100 government schools</t>
  </si>
  <si>
    <t xml:space="preserve">schools</t>
  </si>
  <si>
    <t xml:space="preserve">Choose schools across 4 districts.</t>
  </si>
  <si>
    <t xml:space="preserve">You can't ask useful questions until you know which schools, and that they are spread fairly.</t>
  </si>
  <si>
    <t xml:space="preserve">• Pull school list from UDISE+
• Pick 25 schools per district, mixing urban and rural, primary and middle
• Find the PIO and appellate officer for each block</t>
  </si>
  <si>
    <t xml:space="preserve">Planner draws the sample → Expert attaches the right PIO to each school → Maker turns it into one shared sheet → Checker spot-checks codes → Leader hands 25 schools to each district owner.</t>
  </si>
  <si>
    <t xml:space="preserve">A sheet of 100 schools with UDISE code, block, enrolment, PIO address and First Appellate Authority, spot-checked by 2 Checkers against UDISE+.</t>
  </si>
  <si>
    <t xml:space="preserve">Picking only easy-to-reach schools skews the results.</t>
  </si>
  <si>
    <t xml:space="preserve">2 weeks</t>
  </si>
  <si>
    <t xml:space="preserve">Ask</t>
  </si>
  <si>
    <t xml:space="preserve">File an information request for each school</t>
  </si>
  <si>
    <t xml:space="preserve">requests</t>
  </si>
  <si>
    <t xml:space="preserve">Ask what money each school got.</t>
  </si>
  <si>
    <t xml:space="preserve">The RTI reply is the official paper trail that visits will be checked against.</t>
  </si>
  <si>
    <t xml:space="preserve">• Write one standard request covering grants received and spent for 2022-23 to 2024-25
• File 100 requests by registered post with ₹10 postal orders
• Log every postal receipt and the date the 30-day clock starts</t>
  </si>
  <si>
    <t xml:space="preserve">Expert writes the request → Patron's money buys postal orders → Maker files and logs → Checker confirms each delivery date, which starts every 30-day clock.</t>
  </si>
  <si>
    <t xml:space="preserve">100 requests filed, each with a postal tracking number showing delivery and a scanned copy in the tracker.</t>
  </si>
  <si>
    <t xml:space="preserve">Mission creator + 1 Checker</t>
  </si>
  <si>
    <t xml:space="preserve">Stage 1 school list and PIO addresses</t>
  </si>
  <si>
    <t xml:space="preserve">Vague questions get vague replies, or 'information too voluminous'.</t>
  </si>
  <si>
    <t xml:space="preserve">3 weeks</t>
  </si>
  <si>
    <t xml:space="preserve">Replies</t>
  </si>
  <si>
    <t xml:space="preserve">Get answers from all 100 schools</t>
  </si>
  <si>
    <t xml:space="preserve">replies</t>
  </si>
  <si>
    <t xml:space="preserve">59 replies are late. Each needs an appeal filed in person.</t>
  </si>
  <si>
    <t xml:space="preserve">Without the papers there is nothing to compare at the school.</t>
  </si>
  <si>
    <t xml:space="preserve">• Read and code the 41 replies received
• File first appeals for the 59 late replies, grouped by district office
• Draft second appeals to the Bihar State Information Commission where first appeals lapse
• Track every deadline in one shared tracker</t>
  </si>
  <si>
    <t xml:space="preserve">Maker's tracker flags late replies → Leader assigns owners → Planner groups them into trips → Expert files with stamped receipts → Checker codes each reply as it arrives; Storyteller and Patron keep enough people moving.</t>
  </si>
  <si>
    <t xml:space="preserve">For each of the 100 schools, either a usable reply is coded in the sheet or a second appeal is registered with a Commission case number.</t>
  </si>
  <si>
    <t xml:space="preserve">Stage 2 filing proofs</t>
  </si>
  <si>
    <t xml:space="preserve">Not enough people in Bihar to file and attend hearings, so deadlines lapse and the appeal right is lost.</t>
  </si>
  <si>
    <t xml:space="preserve">4–9 months</t>
  </si>
  <si>
    <t xml:space="preserve">Visit</t>
  </si>
  <si>
    <t xml:space="preserve">Visit each school and compare</t>
  </si>
  <si>
    <t xml:space="preserve">visits</t>
  </si>
  <si>
    <t xml:space="preserve">Check if the books, toilets and teachers are really there.</t>
  </si>
  <si>
    <t xml:space="preserve">Paper says what was bought. Only a visit shows whether it is there.</t>
  </si>
  <si>
    <t xml:space="preserve">• Build a 12-item checklist from the grant heads
• Train 40 visitors in pairs
• Visit 100 schools and photograph with timestamps
• Checkers re-visit 20 at random</t>
  </si>
  <si>
    <t xml:space="preserve">Planner builds the checklist from the coded replies → Expert trains visitors → Users visit in pairs → Checker re-visits 1 in 5 so the photos can be trusted.</t>
  </si>
  <si>
    <t xml:space="preserve">100 checklists uploaded with at least 8 timestamped, location-tagged photos each; 20 random re-visits agree on at least 10 of 12 items.</t>
  </si>
  <si>
    <t xml:space="preserve">2 Checkers + mission creator</t>
  </si>
  <si>
    <t xml:space="preserve">Coded reply (or Commission order) for that school</t>
  </si>
  <si>
    <t xml:space="preserve">Head teachers refuse entry, or visitors over-read a locked room as 'missing'.</t>
  </si>
  <si>
    <t xml:space="preserve">Report</t>
  </si>
  <si>
    <t xml:space="preserve">A report card for every school</t>
  </si>
  <si>
    <t xml:space="preserve">report cards</t>
  </si>
  <si>
    <t xml:space="preserve">Parents can see it all in one page.</t>
  </si>
  <si>
    <t xml:space="preserve">Findings only help if parents can read them and the school can reply.</t>
  </si>
  <si>
    <t xml:space="preserve">• Make a one-page Hindi report card per school
• Send each school its draft and wait 15 days for a reply
• Present at School Management Committee meetings</t>
  </si>
  <si>
    <t xml:space="preserve">Maker fills report cards from visit and reply data → Checker sends drafts and logs school replies → Expert signs off → Storyteller takes them to parents at SMC meetings.</t>
  </si>
  <si>
    <t xml:space="preserve">100 report cards published, each showing the school's reply or 'no reply in 15 days'; presented at 20 or more SMC meetings with photo proof.</t>
  </si>
  <si>
    <t xml:space="preserve">Mission creator + 2 Checkers + 1 Expert (education finance)</t>
  </si>
  <si>
    <t xml:space="preserve">Stage 4 visit data</t>
  </si>
  <si>
    <t xml:space="preserve">A report card reads as an accusation and gets the school or volunteers into trouble.</t>
  </si>
  <si>
    <t xml:space="preserve">Sensors</t>
  </si>
  <si>
    <t xml:space="preserve">Put 14 water gauges and 6 rain gauges in place</t>
  </si>
  <si>
    <t xml:space="preserve">sensors</t>
  </si>
  <si>
    <t xml:space="preserve">First plan is waiting for the creator's OK.</t>
  </si>
  <si>
    <t xml:space="preserve">Without trusted readings, any alert is a guess.</t>
  </si>
  <si>
    <t xml:space="preserve">• Agree and check the plan
• Build and bench-test prototypes
• Win community OK for sites
• Install 20 sensors</t>
  </si>
  <si>
    <t xml:space="preserve">Users and Storyteller show where water comes first → Planner turns that into candidate sites → Expert finds who must approve → Leader gets the OKs → Maker installs → Checker confirms 14 clean days of data.</t>
  </si>
  <si>
    <t xml:space="preserve">20 sensors report every 10 minutes for 14 days in a row with fewer than 10% missing readings, and each site has a signed host OK.</t>
  </si>
  <si>
    <t xml:space="preserve">Mission creator + 2 Checkers + hydrology Expert</t>
  </si>
  <si>
    <t xml:space="preserve">Creator OK on the plan</t>
  </si>
  <si>
    <t xml:space="preserve">Sites chosen on a map turn out unsafe, unreachable or unwanted.</t>
  </si>
  <si>
    <t xml:space="preserve">Alerts</t>
  </si>
  <si>
    <t xml:space="preserve">Text alerts reach 10,000 phones</t>
  </si>
  <si>
    <t xml:space="preserve">phones</t>
  </si>
  <si>
    <t xml:space="preserve">Families sign up by text.</t>
  </si>
  <si>
    <t xml:space="preserve">Readings only matter when they reach a phone in a language people trust.</t>
  </si>
  <si>
    <t xml:space="preserve">• Write alerts in Yoruba, Pidgin and English
• Set up short code, sender ID and opt-in
• Set per-site thresholds
• Run sign-up drives</t>
  </si>
  <si>
    <t xml:space="preserve">Expert writes alerts → Maker wires thresholds to the SMS gateway → Storyteller and Users fill the list → Checker proves test alerts arrive fast.</t>
  </si>
  <si>
    <t xml:space="preserve">10,000 unique opted-in numbers; a test alert reaches 95% of 200 sampled phones within 5 minutes.</t>
  </si>
  <si>
    <t xml:space="preserve">Stage 1 sensors online</t>
  </si>
  <si>
    <t xml:space="preserve">SMS delays or DND filtering; people sign up and then ignore the alerts.</t>
  </si>
  <si>
    <t xml:space="preserve">Alerts arrive 2 hours before floods</t>
  </si>
  <si>
    <t xml:space="preserve">hours warning</t>
  </si>
  <si>
    <t xml:space="preserve">Prove it warns people in time.</t>
  </si>
  <si>
    <t xml:space="preserve">Only real floods prove the warning time.</t>
  </si>
  <si>
    <t xml:space="preserve">• Log every flood with time water hit the street mark
• Compare with alert send time
• Tune thresholds mid-season</t>
  </si>
  <si>
    <t xml:space="preserve">Users timestamp the water → Checker computes lead time → Expert tunes thresholds → Maker keeps sensors alive → Leader decides what changes.</t>
  </si>
  <si>
    <t xml:space="preserve">At least 5 logged flood events; in 4 of 5 at Ogun River sites, the alert came 2 or more hours before water reached the street mark, backed by timestamped photos.</t>
  </si>
  <si>
    <t xml:space="preserve">2 Checkers + hydrology Expert</t>
  </si>
  <si>
    <t xml:space="preserve">Stage 2 live alerts</t>
  </si>
  <si>
    <t xml:space="preserve">A dry year with few floods, or a sensor failing on the night that matters.</t>
  </si>
  <si>
    <t xml:space="preserve">One rainy season (about 6 months)</t>
  </si>
  <si>
    <t xml:space="preserve">Hand over</t>
  </si>
  <si>
    <t xml:space="preserve">The local council runs it</t>
  </si>
  <si>
    <t xml:space="preserve">handover</t>
  </si>
  <si>
    <t xml:space="preserve">Someone local keeps it going.</t>
  </si>
  <si>
    <t xml:space="preserve">Projects that never get handed over die when the money ends.</t>
  </si>
  <si>
    <t xml:space="preserve">• Train 2 local technicians
• Write the running manual
• Sign handover with funding for 12 months</t>
  </si>
  <si>
    <t xml:space="preserve">Storyteller writes the manual → Maker trains technicians → Checker confirms they can fix faults alone → Patron funds the reserve → Leader signs.</t>
  </si>
  <si>
    <t xml:space="preserve">Signed agreement between the LCDA environment unit and the CDA; 2 technicians each fix a sensor fault alone; 12 months of SIM and SMS costs in a joint account.</t>
  </si>
  <si>
    <t xml:space="preserve">Mission creator + CDA chair + 1 Checker</t>
  </si>
  <si>
    <t xml:space="preserve">Stage 3 results</t>
  </si>
  <si>
    <t xml:space="preserve">No local body is willing to carry the running costs.</t>
  </si>
  <si>
    <t xml:space="preserve">Letters</t>
  </si>
  <si>
    <t xml:space="preserve">Write 10 letters for the most common problems</t>
  </si>
  <si>
    <t xml:space="preserve">letters</t>
  </si>
  <si>
    <t xml:space="preserve">Repairs, deposits, rent rises, eviction…</t>
  </si>
  <si>
    <t xml:space="preserve">The letters are the product. Everything after this depends on them being right and clear.</t>
  </si>
  <si>
    <t xml:space="preserve">• Rank the 10 most common problems
• Draft 10 letters with Georgia citations
• Early lawyer check of finished drafts
• Plain-language test with renters</t>
  </si>
  <si>
    <t xml:space="preserve">Users share problems → Planner ranks them and maps when each letter is used → Expert drafts → Maker turns drafts into fill-in templates → Storyteller's renters test the wording → lawyer Checker reviews; Patron and Leader keep lawyers on board.</t>
  </si>
  <si>
    <t xml:space="preserve">10 drafts, each citing the right O.C.G.A. section, under 1 page, with a lawyer's early comments resolved.</t>
  </si>
  <si>
    <t xml:space="preserve">Mission creator + 1 lawyer Checker</t>
  </si>
  <si>
    <t xml:space="preserve">Problem ranking from renters</t>
  </si>
  <si>
    <t xml:space="preserve">Drafts read like legal briefs, or cite the wrong section.</t>
  </si>
  <si>
    <t xml:space="preserve">A lawyer checks every letter</t>
  </si>
  <si>
    <t xml:space="preserve">Nothing goes out without a lawyer's OK.</t>
  </si>
  <si>
    <t xml:space="preserve">A wrong letter can hurt a tenant, so nothing goes out without a lawyer's written OK.</t>
  </si>
  <si>
    <t xml:space="preserve">• Formal lawyer sign-off on all 10
• Spanish translation and back-check
• Reading-level test</t>
  </si>
  <si>
    <t xml:space="preserve">Expert translates the drafts → Users test that they understand them → lawyer Checkers sign off → Leader settles any disagreement → Patron pays for the hours.</t>
  </si>
  <si>
    <t xml:space="preserve">10 English + 10 Spanish letters, each with a dated sign-off naming the lawyer's Georgia Bar number, kept on file.</t>
  </si>
  <si>
    <t xml:space="preserve">2 lawyer Checkers + mission creator</t>
  </si>
  <si>
    <t xml:space="preserve">10 drafts from stage 1</t>
  </si>
  <si>
    <t xml:space="preserve">Lawyers stall or disagree on risky letters (e.g. repair-and-deduct).</t>
  </si>
  <si>
    <t xml:space="preserve">6–10 weeks</t>
  </si>
  <si>
    <t xml:space="preserve">Launch</t>
  </si>
  <si>
    <t xml:space="preserve">Free letter tool online</t>
  </si>
  <si>
    <t xml:space="preserve">Pick your problem, fill 3 boxes, send.</t>
  </si>
  <si>
    <t xml:space="preserve">Signed-off letters only help if renters can find and fill them on a phone.</t>
  </si>
  <si>
    <t xml:space="preserve">• Build the pick-a-problem tool
• Privacy and accessibility review
• Test with 10 renters</t>
  </si>
  <si>
    <t xml:space="preserve">Planner maps the paths → Maker builds → Storyteller writes help text → Users test on phones → Checker clears privacy.</t>
  </si>
  <si>
    <t xml:space="preserve">Tool live; 10 renters each make a correct letter on a phone in under 5 minutes; no personal data stored on the server by default.</t>
  </si>
  <si>
    <t xml:space="preserve">Stage 2 sign-offs</t>
  </si>
  <si>
    <t xml:space="preserve">Tool stores sensitive data or is hard to use on cheap phones.</t>
  </si>
  <si>
    <t xml:space="preserve">Use</t>
  </si>
  <si>
    <t xml:space="preserve">1,000 renters send a letter</t>
  </si>
  <si>
    <t xml:space="preserve">renters</t>
  </si>
  <si>
    <t xml:space="preserve">Real renters get real results.</t>
  </si>
  <si>
    <t xml:space="preserve">Real use shows whether the letters actually change outcomes.</t>
  </si>
  <si>
    <t xml:space="preserve">• Outreach at tenant meetings
• 60-day follow-up survey
• Update letters when the law changes</t>
  </si>
  <si>
    <t xml:space="preserve">Storyteller brings renters in → Users send letters → Leader surveys at 60 days → Checker verifies a sample → Expert updates letters when the law changes.</t>
  </si>
  <si>
    <t xml:space="preserve">1,000 letters created (counted without storing personal data) and 60-day survey results from at least 150 senders.</t>
  </si>
  <si>
    <t xml:space="preserve">Stage 3 launch</t>
  </si>
  <si>
    <t xml:space="preserve">Few renters hear about it; the ones who do are already well informed.</t>
  </si>
  <si>
    <t xml:space="preserve">6 months</t>
  </si>
  <si>
    <t xml:space="preserve">Map public drinking fountains and street pumps</t>
  </si>
  <si>
    <t xml:space="preserve">water points</t>
  </si>
  <si>
    <t xml:space="preserve">Walk, photo, tag in OpenStreetMap.</t>
  </si>
  <si>
    <t xml:space="preserve">You can't fix what isn't on the map.</t>
  </si>
  <si>
    <t xml:space="preserve">• Pull existing OSM points
• Split the city into 120 grid squares
• Survey with StreetComplete
• Clean duplicates</t>
  </si>
  <si>
    <t xml:space="preserve">Planner splits the city → Maker's dashboard shows gaps → Storyteller recruits for empty squares → Users survey → Checker re-surveys 1 in 10.</t>
  </si>
  <si>
    <t xml:space="preserve">1,100+ points with photo, tag and working status; 10% re-surveyed by Checkers with 95% agreement.</t>
  </si>
  <si>
    <t xml:space="preserve">Mappers cluster in the inner city and skip outer districts.</t>
  </si>
  <si>
    <t xml:space="preserve">10 weeks</t>
  </si>
  <si>
    <t xml:space="preserve">Report every broken water point</t>
  </si>
  <si>
    <t xml:space="preserve">reports</t>
  </si>
  <si>
    <t xml:space="preserve">Send each broken one to the right office with a photo.</t>
  </si>
  <si>
    <t xml:space="preserve">Broken points only get fixed if the right office gets a clear report.</t>
  </si>
  <si>
    <t xml:space="preserve">• Find the responsible office per point type and district
• Standard report text in German
• Track reports</t>
  </si>
  <si>
    <t xml:space="preserve">Expert finds the right office → Leader agrees a format → Maker generates reports → Users file them → Checker logs reference numbers.</t>
  </si>
  <si>
    <t xml:space="preserve">300+ reports, each with a reference number from the office.</t>
  </si>
  <si>
    <t xml:space="preserve">Stage 1 status data</t>
  </si>
  <si>
    <t xml:space="preserve">Reports land in the wrong inbox and vanish.</t>
  </si>
  <si>
    <t xml:space="preserve">6 weeks</t>
  </si>
  <si>
    <t xml:space="preserve">Broken points confirmed fixed</t>
  </si>
  <si>
    <t xml:space="preserve">fixed</t>
  </si>
  <si>
    <t xml:space="preserve">Go back and check the water runs.</t>
  </si>
  <si>
    <t xml:space="preserve">A report isn't a win until water runs again.</t>
  </si>
  <si>
    <t xml:space="preserve">• Chase open reports
• Re-visit after fix notices
• Update OSM</t>
  </si>
  <si>
    <t xml:space="preserve">Leader chases offices → Users re-visit → Checker confirms dates → Maker updates the map → Storyteller shares each win.</t>
  </si>
  <si>
    <t xml:space="preserve">200+ points re-visited with a photo of running water dated after the report.</t>
  </si>
  <si>
    <t xml:space="preserve">Stage 2 reports</t>
  </si>
  <si>
    <t xml:space="preserve">Offices fix slowly, and the season ends first.</t>
  </si>
  <si>
    <t xml:space="preserve">12 weeks</t>
  </si>
  <si>
    <t xml:space="preserve">Design</t>
  </si>
  <si>
    <t xml:space="preserve">Collect 12 designs and pick 1</t>
  </si>
  <si>
    <t xml:space="preserve">designs</t>
  </si>
  <si>
    <t xml:space="preserve">Many people draw a ramp; we pick the best.</t>
  </si>
  <si>
    <t xml:space="preserve">Many designs at first give more ideas before money goes into testing.</t>
  </si>
  <si>
    <t xml:space="preserve">• Write the design rules
• Submit designs with cutting plans
• Check each against the rules</t>
  </si>
  <si>
    <t xml:space="preserve">The Planner sets 12 small jobs, Makers draw designs, Checkers filter out the ones that break the rules, and Users and the Leader pick one.</t>
  </si>
  <si>
    <t xml:space="preserve">12 designs checked; 3 pass the slope, width and one-sheet rules; 1 chosen by vote of Checkers and users.</t>
  </si>
  <si>
    <t xml:space="preserve">Mission creator + 3 Checkers + 2 wheelchair users</t>
  </si>
  <si>
    <t xml:space="preserve">Agreed rules (slope, width, one sheet)</t>
  </si>
  <si>
    <t xml:space="preserve">Pretty designs that ignore slope.</t>
  </si>
  <si>
    <t xml:space="preserve">Load-test 10 prototypes</t>
  </si>
  <si>
    <t xml:space="preserve">tests passed</t>
  </si>
  <si>
    <t xml:space="preserve">Build it and try to break it.</t>
  </si>
  <si>
    <t xml:space="preserve">A design is only safe once real copies have held the load.</t>
  </si>
  <si>
    <t xml:space="preserve">• Build 10 prototypes
• Static load tests
• Grip tests when wet
• User trials</t>
  </si>
  <si>
    <t xml:space="preserve">Patrons pay for sheets, Makers build, Checkers load-test, an Expert fixes weak joints, and Users confirm it feels safe.</t>
  </si>
  <si>
    <t xml:space="preserve">10 builds hold 450 kg static load with under 10 mm sag, and 5 users roll up and down safely.</t>
  </si>
  <si>
    <t xml:space="preserve">2 Checkers + makerspace supervisor</t>
  </si>
  <si>
    <t xml:space="preserve">Chosen design</t>
  </si>
  <si>
    <t xml:space="preserve">Weak plywood batch; unsafe home testing.</t>
  </si>
  <si>
    <t xml:space="preserve">Guide</t>
  </si>
  <si>
    <t xml:space="preserve">Build guide in 8 languages</t>
  </si>
  <si>
    <t xml:space="preserve">Anyone can follow it with a saw and a drill.</t>
  </si>
  <si>
    <t xml:space="preserve">The design spreads only if strangers can build it right.</t>
  </si>
  <si>
    <t xml:space="preserve">• Picture-first guide
• Metric and imperial cutting plans
• Translations</t>
  </si>
  <si>
    <t xml:space="preserve">Storytellers write, Experts translate, Users build from the guide alone, and Checkers compare their ramps to the plan.</t>
  </si>
  <si>
    <t xml:space="preserve">A first-time builder finishes a ramp from the guide alone in under 6 hours, in 3 trials.</t>
  </si>
  <si>
    <t xml:space="preserve">Tested design</t>
  </si>
  <si>
    <t xml:space="preserve">Steps unclear to beginners.</t>
  </si>
  <si>
    <t xml:space="preserve">4 weeks</t>
  </si>
  <si>
    <t xml:space="preserve">Build</t>
  </si>
  <si>
    <t xml:space="preserve">300 ramps built in 10+ countries</t>
  </si>
  <si>
    <t xml:space="preserve">ramps</t>
  </si>
  <si>
    <t xml:space="preserve">People build real ramps where they are needed.</t>
  </si>
  <si>
    <t xml:space="preserve">Real builds prove it works outside the workshop.</t>
  </si>
  <si>
    <t xml:space="preserve">• Build days with local groups
• Photo proof and slope check
• Fix reports</t>
  </si>
  <si>
    <t xml:space="preserve">Patrons sponsor sheets, Users build and log, Checkers verify slope from photos, and Storytellers share the builds to bring in more.</t>
  </si>
  <si>
    <t xml:space="preserve">300 builds logged, each with photos and a measured slope of 1:12 or gentler.</t>
  </si>
  <si>
    <t xml:space="preserve">Checkers sample 10% of builds</t>
  </si>
  <si>
    <t xml:space="preserve">Fake or unsafe builds counted.</t>
  </si>
  <si>
    <t xml:space="preserve">3 months</t>
  </si>
  <si>
    <t xml:space="preserve">Find</t>
  </si>
  <si>
    <t xml:space="preserve">Check every hand pump in 4 blocks</t>
  </si>
  <si>
    <t xml:space="preserve">Visit each pump, pump it 20 times, and note whether water comes.</t>
  </si>
  <si>
    <t xml:space="preserve">Nobody had a current list of which pumps worked. Without one, there is nothing to report.</t>
  </si>
  <si>
    <t xml:space="preserve">• Train 24 local volunteers
• Run the offline survey with photo, GPS and flow test
• Re-check a random 5%</t>
  </si>
  <si>
    <t xml:space="preserve">Planner maps the routes → Leader trains volunteers → Users survey each pump on the Maker's form → Checker confirms the data is real.</t>
  </si>
  <si>
    <t xml:space="preserve">2,600 pumps logged, each with photo, GPS, flow-test result and symptom code; a 5% re-visit matches at least 95% of the time.</t>
  </si>
  <si>
    <t xml:space="preserve">Survey form; volunteer training</t>
  </si>
  <si>
    <t xml:space="preserve">Heat, distance and volunteers dropping out at harvest time.</t>
  </si>
  <si>
    <t xml:space="preserve">4–5 weeks</t>
  </si>
  <si>
    <t xml:space="preserve">Report every broken pump with a complaint number</t>
  </si>
  <si>
    <t xml:space="preserve">Tell the department about every broken pump, in a way it can't lose.</t>
  </si>
  <si>
    <t xml:space="preserve">PHED repairs what is reported. A list with complaint numbers turns a survey into a work queue.</t>
  </si>
  <si>
    <t xml:space="preserve">• Hand the list to PHED block offices
• File on Rajasthan Sampark / 181
• Match to PHED pump IDs</t>
  </si>
  <si>
    <t xml:space="preserve">Expert sorts the faults → Planner batches them by mechanic area → Leader hands the batches over → Users file on Sampark → Checker confirms every number.</t>
  </si>
  <si>
    <t xml:space="preserve">All 412 broken pumps have a complaint number or a signed receipt from the PHED office.</t>
  </si>
  <si>
    <t xml:space="preserve">Stage 1 broken list</t>
  </si>
  <si>
    <t xml:space="preserve">The office accepts the list but never enters it.</t>
  </si>
  <si>
    <t xml:space="preserve">2–3 weeks</t>
  </si>
  <si>
    <t xml:space="preserve">Fix</t>
  </si>
  <si>
    <t xml:space="preserve">Get at least 300 broken pumps repaired</t>
  </si>
  <si>
    <t xml:space="preserve">Keep after the department and panchayats until pumps give water.</t>
  </si>
  <si>
    <t xml:space="preserve">Reports only matter if they turn into repairs.</t>
  </si>
  <si>
    <t xml:space="preserve">• Weekly follow-up with PHED
• Panchayat funding for repairs
• Caretaker training
• Monthly block meeting updates</t>
  </si>
  <si>
    <t xml:space="preserve">Leader keeps PHED moving → Planner unlocks panchayat money for stuck repairs → Users confirm water flows → Storyteller puts the count in front of officials. Patrons keep the travel going.</t>
  </si>
  <si>
    <t xml:space="preserve">300 pumps pass a 20-stroke flow test after repair, each confirmed by a photo or video.</t>
  </si>
  <si>
    <t xml:space="preserve">Stage 2 complaint numbers</t>
  </si>
  <si>
    <t xml:space="preserve">A shortage of pipes and cylinders.</t>
  </si>
  <si>
    <t xml:space="preserve">4 months</t>
  </si>
  <si>
    <t xml:space="preserve">Prove</t>
  </si>
  <si>
    <t xml:space="preserve">Re-check fixed pumps 30 days later</t>
  </si>
  <si>
    <t xml:space="preserve">Make sure the fixes lasted.</t>
  </si>
  <si>
    <t xml:space="preserve">A pump that breaks again in a week hasn't really been fixed.</t>
  </si>
  <si>
    <t xml:space="preserve">• 30-day re-visits
• Re-report failures
• Hand data to PHED and panchayats</t>
  </si>
  <si>
    <t xml:space="preserve">Checker re-tests → Users flag re-breaks → Maker cleans the data → Storyteller writes the report → Leader hands it over.</t>
  </si>
  <si>
    <t xml:space="preserve">All 300 fixed pumps re-tested at 30 days or later; failures re-reported with new complaint numbers.</t>
  </si>
  <si>
    <t xml:space="preserve">Stage 3 repair list</t>
  </si>
  <si>
    <t xml:space="preserve">Volunteers have moved on by then.</t>
  </si>
  <si>
    <t xml:space="preserve">Prototype</t>
  </si>
  <si>
    <t xml:space="preserve">Build 5 prototypes that read CO2 within ±100 ppm</t>
  </si>
  <si>
    <t xml:space="preserve">prototypes</t>
  </si>
  <si>
    <t xml:space="preserve">Make a few that work and check them against a real meter.</t>
  </si>
  <si>
    <t xml:space="preserve">Check accuracy before thinking about price or numbers.</t>
  </si>
  <si>
    <t xml:space="preserve">• Pick the sensor
• Board and firmware
• Side-by-side test with a reference meter</t>
  </si>
  <si>
    <t xml:space="preserve">Expert picked a sensor → Maker built 5 → Checker tested them against the reference → the cheap sensor failed → Leader switched to NDIR → the rebuild passed.</t>
  </si>
  <si>
    <t xml:space="preserve">5 units read within ±100 ppm of the reference meter for 48 hours in a real room</t>
  </si>
  <si>
    <t xml:space="preserve">Reference meter on loan</t>
  </si>
  <si>
    <t xml:space="preserve">A cheap sensor passes in fresh air but fails in a crowded room.</t>
  </si>
  <si>
    <t xml:space="preserve">Build 50 sensors at $20 or less each for 10 classrooms</t>
  </si>
  <si>
    <t xml:space="preserve">Make enough for 10 classrooms at the target price. Stopped here.</t>
  </si>
  <si>
    <t xml:space="preserve">Prove the price at a real batch size before going to 200 classrooms.</t>
  </si>
  <si>
    <t xml:space="preserve">• Real quotes for 50 units
• Simplified display
• Classroom trial with 4 units</t>
  </si>
  <si>
    <t xml:space="preserve">Planner got quotes → Checker audited them at $90 → teachers (Users) liked the 4 trial units → Leader and backers voted to stop → Storyteller explained the stop.</t>
  </si>
  <si>
    <t xml:space="preserve">50 units built at $20 or less each, all passing accuracy checks</t>
  </si>
  <si>
    <t xml:space="preserve">Stage 1 passed</t>
  </si>
  <si>
    <t xml:space="preserve">Batch cost is far above target, which is what happened.</t>
  </si>
  <si>
    <t xml:space="preserve">10 weeks (stopped)</t>
  </si>
  <si>
    <t xml:space="preserve">Patients</t>
  </si>
  <si>
    <t xml:space="preserve">First 20 patients treated in a trial</t>
  </si>
  <si>
    <t xml:space="preserve">patients</t>
  </si>
  <si>
    <t xml:space="preserve">The treatment reaches real people</t>
  </si>
  <si>
    <t xml:space="preserve">A filing is a promise; patients treated is the win.</t>
  </si>
  <si>
    <t xml:space="preserve">20 patients dosed under an approved trial protocol, reported publicly</t>
  </si>
  <si>
    <t xml:space="preserve">Trial sponsor + mission creator</t>
  </si>
  <si>
    <t xml:space="preserve">Stage 5 passed</t>
  </si>
  <si>
    <t xml:space="preserve">Act</t>
  </si>
  <si>
    <t xml:space="preserve">Bystanders step in during 100 real emergencies</t>
  </si>
  <si>
    <t xml:space="preserve">People act when it counts</t>
  </si>
  <si>
    <t xml:space="preserve">Guides only matter if someone uses them in the moment.</t>
  </si>
  <si>
    <t xml:space="preserve">100 reports of a bystander using a guide, each confirmed by a nurse Checker</t>
  </si>
  <si>
    <t xml:space="preserve">Stage 4 passed</t>
  </si>
  <si>
    <t xml:space="preserve">10,000 people use it every week in their own language</t>
  </si>
  <si>
    <t xml:space="preserve">People use it in their language, every week</t>
  </si>
  <si>
    <t xml:space="preserve">A model nobody uses fixes nothing.</t>
  </si>
  <si>
    <t xml:space="preserve">10,000 weekly users for 4 weeks, counted without personal data</t>
  </si>
  <si>
    <t xml:space="preserve">Replaced</t>
  </si>
  <si>
    <t xml:space="preserve">500 lead lines replaced</t>
  </si>
  <si>
    <t xml:space="preserve">The lead pipes are gone</t>
  </si>
  <si>
    <t xml:space="preserve">A plan is a promise; a replaced pipe is safe water.</t>
  </si>
  <si>
    <t xml:space="preserve">500 replacements confirmed in the city's public records</t>
  </si>
  <si>
    <t xml:space="preserve">Safer</t>
  </si>
  <si>
    <t xml:space="preserve">Pothole crashes on mapped roads fall by half</t>
  </si>
  <si>
    <t xml:space="preserve">% fewer</t>
  </si>
  <si>
    <t xml:space="preserve">Fewer riders get hurt</t>
  </si>
  <si>
    <t xml:space="preserve">Fixed potholes only matter if fewer people fall.</t>
  </si>
  <si>
    <t xml:space="preserve">Crash reports on mapped roads down 50% against the same months last year</t>
  </si>
  <si>
    <t xml:space="preserve">50 schools get what was missing</t>
  </si>
  <si>
    <t xml:space="preserve">The money turns into toilets, books and teachers</t>
  </si>
  <si>
    <t xml:space="preserve">A report card shows the gap; the win is closing it.</t>
  </si>
  <si>
    <t xml:space="preserve">50 schools show the missing items in place, with dated photos</t>
  </si>
  <si>
    <t xml:space="preserve">500 repairs made or deposits returned</t>
  </si>
  <si>
    <t xml:space="preserve">Renters get the repair or the money back</t>
  </si>
  <si>
    <t xml:space="preserve">Sending a letter is a step; the repair is the win.</t>
  </si>
  <si>
    <t xml:space="preserve">500 renters confirm the repair or refund, with a photo or receipt</t>
  </si>
  <si>
    <t xml:space="preserve">Leader</t>
  </si>
  <si>
    <t xml:space="preserve">Planner</t>
  </si>
  <si>
    <t xml:space="preserve">Expert</t>
  </si>
  <si>
    <t xml:space="preserve">Maker</t>
  </si>
  <si>
    <t xml:space="preserve">Checker</t>
  </si>
  <si>
    <t xml:space="preserve">Storyteller</t>
  </si>
  <si>
    <t xml:space="preserve">Patron</t>
  </si>
  <si>
    <t xml:space="preserve">User</t>
  </si>
  <si>
    <t xml:space="preserve">Sets catalogue fields</t>
  </si>
  <si>
    <t xml:space="preserve">Finds and judges datasets</t>
  </si>
  <si>
    <t xml:space="preserve">Builds the searchable catalogue</t>
  </si>
  <si>
    <t xml:space="preserve">Verifies links and licences</t>
  </si>
  <si>
    <t xml:space="preserve">Patients flag datasets they've heard of</t>
  </si>
  <si>
    <t xml:space="preserve">Agrees the scoring rule</t>
  </si>
  <si>
    <t xml:space="preserve">Scores evidence</t>
  </si>
  <si>
    <t xml:space="preserve">Builds the scoring pipeline</t>
  </si>
  <si>
    <t xml:space="preserve">Re-checks citations</t>
  </si>
  <si>
    <t xml:space="preserve">Explains the ranking plainly</t>
  </si>
  <si>
    <t xml:space="preserve">Sets the shortlist rule</t>
  </si>
  <si>
    <t xml:space="preserve">Gets lab quotes ahead of Stage 4</t>
  </si>
  <si>
    <t xml:space="preserve">Reviews published evidence</t>
  </si>
  <si>
    <t xml:space="preserve">Runs compute batches and models</t>
  </si>
  <si>
    <t xml:space="preserve">Re-runs samples and reviews reports</t>
  </si>
  <si>
    <t xml:space="preserve">Recruits Checkers and posts progress</t>
  </si>
  <si>
    <t xml:space="preserve">Funds compute and squads</t>
  </si>
  <si>
    <t xml:space="preserve">Reads updates and asks questions</t>
  </si>
  <si>
    <t xml:space="preserve">Signs the contract</t>
  </si>
  <si>
    <t xml:space="preserve">Books lab time and paperwork</t>
  </si>
  <si>
    <t xml:space="preserve">Reviews the lab report</t>
  </si>
  <si>
    <t xml:space="preserve">Publishes results, including failures</t>
  </si>
  <si>
    <t xml:space="preserve">Funds lab fees</t>
  </si>
  <si>
    <t xml:space="preserve">Finds the sponsor</t>
  </si>
  <si>
    <t xml:space="preserve">Manages the package</t>
  </si>
  <si>
    <t xml:space="preserve">Regulatory consultant advises</t>
  </si>
  <si>
    <t xml:space="preserve">Writes the patient summary</t>
  </si>
  <si>
    <t xml:space="preserve">Funds consulting</t>
  </si>
  <si>
    <t xml:space="preserve">Freezes the final list of 20</t>
  </si>
  <si>
    <t xml:space="preserve">Plans language waves and the check workflow</t>
  </si>
  <si>
    <t xml:space="preserve">Nurses propose topics and write plain master text</t>
  </si>
  <si>
    <t xml:space="preserve">Draws wordless pictures that set the style</t>
  </si>
  <si>
    <t xml:space="preserve">Pilots the check loop and times it</t>
  </si>
  <si>
    <t xml:space="preserve">Recruits speakers for missing languages</t>
  </si>
  <si>
    <t xml:space="preserve">Funds translator pay for small languages</t>
  </si>
  <si>
    <t xml:space="preserve">Reads a draft and says what is unclear</t>
  </si>
  <si>
    <t xml:space="preserve">Tracks 50 languages against the wave plan</t>
  </si>
  <si>
    <t xml:space="preserve">Native speakers build glossaries and fix drafts</t>
  </si>
  <si>
    <t xml:space="preserve">Sets up Weblate and agent drafting</t>
  </si>
  <si>
    <t xml:space="preserve">Approves each glossary</t>
  </si>
  <si>
    <t xml:space="preserve">Keeps recruiting for gaps</t>
  </si>
  <si>
    <t xml:space="preserve">Pays per finished language</t>
  </si>
  <si>
    <t xml:space="preserve">Tries a draft on a phone</t>
  </si>
  <si>
    <t xml:space="preserve">Decides on re-checks when a language fails</t>
  </si>
  <si>
    <t xml:space="preserve">Draws the random back-translation sample</t>
  </si>
  <si>
    <t xml:space="preserve">Nurse reviews flagged items</t>
  </si>
  <si>
    <t xml:space="preserve">Independent native check of every guide</t>
  </si>
  <si>
    <t xml:space="preserve">Funds checker pay</t>
  </si>
  <si>
    <t xml:space="preserve">Spot-reads guides in their language</t>
  </si>
  <si>
    <t xml:space="preserve">Signs off launch</t>
  </si>
  <si>
    <t xml:space="preserve">Builds the app and print cards</t>
  </si>
  <si>
    <t xml:space="preserve">Tests on real cheap phones and printouts</t>
  </si>
  <si>
    <t xml:space="preserve">Announces in each language</t>
  </si>
  <si>
    <t xml:space="preserve">Pays for sample printing</t>
  </si>
  <si>
    <t xml:space="preserve">Installs and shares</t>
  </si>
  <si>
    <t xml:space="preserve">Sets the 5-million-word floor per language and decides when the corpus is frozen</t>
  </si>
  <si>
    <t xml:space="preserve">Merges the two training squads and lines up which languages get Experts first</t>
  </si>
  <si>
    <t xml:space="preserve">Native speakers find licensed sources, fix legacy fonts and write frozen test questions</t>
  </si>
  <si>
    <t xml:space="preserve">Builds the cleaning, dedup and tokenizer pipeline</t>
  </si>
  <si>
    <t xml:space="preserve">Samples 200 lines per language and audits every licence</t>
  </si>
  <si>
    <t xml:space="preserve">Recruits speakers of the rarest languages</t>
  </si>
  <si>
    <t xml:space="preserve">Funds the native-speaker hours and the test-run GPUs</t>
  </si>
  <si>
    <t xml:space="preserve">Types everyday sentences in their mother tongue</t>
  </si>
  <si>
    <t xml:space="preserve">Picks the model size and signs the go/no-go for the 64-GPU run</t>
  </si>
  <si>
    <t xml:space="preserve">Writes native instruction examples</t>
  </si>
  <si>
    <t xml:space="preserve">Sets up the crash-safe training run</t>
  </si>
  <si>
    <t xml:space="preserve">Kills a node on purpose and re-runs the evaluation scripts</t>
  </si>
  <si>
    <t xml:space="preserve">Covers the GPU booking before it starts</t>
  </si>
  <si>
    <t xml:space="preserve">Signs the 22-row table, losses included</t>
  </si>
  <si>
    <t xml:space="preserve">Grades open-ended answers in their language</t>
  </si>
  <si>
    <t xml:space="preserve">Runs the evaluation harness on our model and 2 baselines</t>
  </si>
  <si>
    <t xml:space="preserve">Re-runs 10% of the scoring</t>
  </si>
  <si>
    <t xml:space="preserve">Explains the scores in plain words</t>
  </si>
  <si>
    <t xml:space="preserve">Approves the public release</t>
  </si>
  <si>
    <t xml:space="preserve">Builds the 4-bit laptop version</t>
  </si>
  <si>
    <t xml:space="preserve">Installs it on their own laptop and times it</t>
  </si>
  <si>
    <t xml:space="preserve">Writes the model card in 22 languages</t>
  </si>
  <si>
    <t xml:space="preserve">Teachers try it offline in the pilot schools</t>
  </si>
  <si>
    <t xml:space="preserve">Sets the turn, token and time caps every run must respect</t>
  </si>
  <si>
    <t xml:space="preserve">Splits the loop into small jobs and picks the 20 replay quests</t>
  </si>
  <si>
    <t xml:space="preserve">Builds the loop and the replay runner</t>
  </si>
  <si>
    <t xml:space="preserve">Replays runs and confirms the logs match what happened</t>
  </si>
  <si>
    <t xml:space="preserve">Funds the model API bill</t>
  </si>
  <si>
    <t xml:space="preserve">Hands real quests to the engine and reports what felt wrong</t>
  </si>
  <si>
    <t xml:space="preserve">Approves the permission model all tools must follow</t>
  </si>
  <si>
    <t xml:space="preserve">Writes when an agent must stop and ask its human</t>
  </si>
  <si>
    <t xml:space="preserve">Writes prompt-injection attacks that real pages could carry</t>
  </si>
  <si>
    <t xml:space="preserve">Builds each tool inside a sandbox with a manifest</t>
  </si>
  <si>
    <t xml:space="preserve">Tries to make the agent spend or write what it shouldn't</t>
  </si>
  <si>
    <t xml:space="preserve">Explains the safety model so new builders can join</t>
  </si>
  <si>
    <t xml:space="preserve">Pays the model bill for red-team runs</t>
  </si>
  <si>
    <t xml:space="preserve">Runs real quests and logs what broke</t>
  </si>
  <si>
    <t xml:space="preserve">Decides which results skip human review</t>
  </si>
  <si>
    <t xml:space="preserve">Writes the planted bad results and the review rubric</t>
  </si>
  <si>
    <t xml:space="preserve">Builds the checker agent and the review queue</t>
  </si>
  <si>
    <t xml:space="preserve">Reviews the agent's approvals and records every overturn</t>
  </si>
  <si>
    <t xml:space="preserve">Publishes the miss rate honestly</t>
  </si>
  <si>
    <t xml:space="preserve">Calls the go/no-go on real money</t>
  </si>
  <si>
    <t xml:space="preserve">Designs the spend alerts and the failure drills</t>
  </si>
  <si>
    <t xml:space="preserve">Builds the load test and the ledger checks</t>
  </si>
  <si>
    <t xml:space="preserve">Reconciles the ledger by hand on a sample</t>
  </si>
  <si>
    <t xml:space="preserve">Funds the 72-hour run</t>
  </si>
  <si>
    <t xml:space="preserve">Picks 200 candidate sites that cover the range of reef types</t>
  </si>
  <si>
    <t xml:space="preserve">Labels reef cover on satellite tiles</t>
  </si>
  <si>
    <t xml:space="preserve">Builds the tile cutter and the labelling tool</t>
  </si>
  <si>
    <t xml:space="preserve">Re-labels 10% of tiles to measure agreement</t>
  </si>
  <si>
    <t xml:space="preserve">Funds the labelling quests</t>
  </si>
  <si>
    <t xml:space="preserve">Decides where the last boat money goes</t>
  </si>
  <si>
    <t xml:space="preserve">Finds dive shops and books boat days around the weather</t>
  </si>
  <si>
    <t xml:space="preserve">Dives, lays transects and photographs quadrats</t>
  </si>
  <si>
    <t xml:space="preserve">Matches each site to its satellite pixels</t>
  </si>
  <si>
    <t xml:space="preserve">Checks every report against its photos and GPS</t>
  </si>
  <si>
    <t xml:space="preserve">Shows why the squad is stuck and recruits divers and Checkers</t>
  </si>
  <si>
    <t xml:space="preserve">Pays for boat days</t>
  </si>
  <si>
    <t xml:space="preserve">Snorkels shallow reef flats with a colour chart</t>
  </si>
  <si>
    <t xml:space="preserve">Decides whether 80% is met honestly</t>
  </si>
  <si>
    <t xml:space="preserve">Reviews errors and spots depth and water traps</t>
  </si>
  <si>
    <t xml:space="preserve">Trains the model</t>
  </si>
  <si>
    <t xml:space="preserve">Re-runs the held-back test</t>
  </si>
  <si>
    <t xml:space="preserve">Explains what the map can and cannot see</t>
  </si>
  <si>
    <t xml:space="preserve">Public map</t>
  </si>
  <si>
    <t xml:space="preserve">Builds the weekly pipeline and the web map</t>
  </si>
  <si>
    <t xml:space="preserve">Spot-checks 20 new tiles each week</t>
  </si>
  <si>
    <t xml:space="preserve">Shows rangers how to read it</t>
  </si>
  <si>
    <t xml:space="preserve">Covers hosting for the first year</t>
  </si>
  <si>
    <t xml:space="preserve">Rangers and fishers use it and report errors</t>
  </si>
  <si>
    <t xml:space="preserve">Sets the privacy and neutrality rules</t>
  </si>
  <si>
    <t xml:space="preserve">Drafts and files the public records request</t>
  </si>
  <si>
    <t xml:space="preserve">Reads the inventory and writes the pipe ID guide</t>
  </si>
  <si>
    <t xml:space="preserve">Builds the photo form that strips addresses and metadata</t>
  </si>
  <si>
    <t xml:space="preserve">Tests the guide on sample photos</t>
  </si>
  <si>
    <t xml:space="preserve">Wins the missing backers</t>
  </si>
  <si>
    <t xml:space="preserve">Backs the launch</t>
  </si>
  <si>
    <t xml:space="preserve">Looks up their own address in the inventory</t>
  </si>
  <si>
    <t xml:space="preserve">Handles hard cases (painted or wrapped pipe)</t>
  </si>
  <si>
    <t xml:space="preserve">Reviews every photo the agent called</t>
  </si>
  <si>
    <t xml:space="preserve">Runs library sign-up nights in low-response blocks</t>
  </si>
  <si>
    <t xml:space="preserve">Funds the photo rewards</t>
  </si>
  <si>
    <t xml:space="preserve">Photographs the pipe at home</t>
  </si>
  <si>
    <t xml:space="preserve">Signs off on privacy (minimum block size)</t>
  </si>
  <si>
    <t xml:space="preserve">Builds the map</t>
  </si>
  <si>
    <t xml:space="preserve">Traces blocks back to source</t>
  </si>
  <si>
    <t xml:space="preserve">Explains how to read it</t>
  </si>
  <si>
    <t xml:space="preserve">Checks their street</t>
  </si>
  <si>
    <t xml:space="preserve">Replace</t>
  </si>
  <si>
    <t xml:space="preserve">Makes the formal ask</t>
  </si>
  <si>
    <t xml:space="preserve">Tracks the plan for 12 months</t>
  </si>
  <si>
    <t xml:space="preserve">Confirms the plan covers the lines</t>
  </si>
  <si>
    <t xml:space="preserve">Gives public comment</t>
  </si>
  <si>
    <t xml:space="preserve">Funds the tracking</t>
  </si>
  <si>
    <t xml:space="preserve">Sets the 3 grades and 10 countries</t>
  </si>
  <si>
    <t xml:space="preserve">Maps each curriculum to shared skills</t>
  </si>
  <si>
    <t xml:space="preserve">Teachers supply local maths words</t>
  </si>
  <si>
    <t xml:space="preserve">A local teacher verifies each map</t>
  </si>
  <si>
    <t xml:space="preserve">Funds teacher time</t>
  </si>
  <si>
    <t xml:space="preserve">Parents say which topics their kids struggle with</t>
  </si>
  <si>
    <t xml:space="preserve">Decides features to cut</t>
  </si>
  <si>
    <t xml:space="preserve">Translates and checks maths wording</t>
  </si>
  <si>
    <t xml:space="preserve">Builds the app and shrinks the model</t>
  </si>
  <si>
    <t xml:space="preserve">Tests on real cheap phones</t>
  </si>
  <si>
    <t xml:space="preserve">Recruits translators</t>
  </si>
  <si>
    <t xml:space="preserve">Buys test phones</t>
  </si>
  <si>
    <t xml:space="preserve">Signs school agreements</t>
  </si>
  <si>
    <t xml:space="preserve">Picks pilot and comparison classes</t>
  </si>
  <si>
    <t xml:space="preserve">Trains teachers</t>
  </si>
  <si>
    <t xml:space="preserve">Audits consent forms and logs</t>
  </si>
  <si>
    <t xml:space="preserve">Funds phones and chargers</t>
  </si>
  <si>
    <t xml:space="preserve">Teachers and volunteers run the start test</t>
  </si>
  <si>
    <t xml:space="preserve">Decides how to report misses</t>
  </si>
  <si>
    <t xml:space="preserve">Schedules test day</t>
  </si>
  <si>
    <t xml:space="preserve">Checks the Kenya test matches the curriculum</t>
  </si>
  <si>
    <t xml:space="preserve">Builds the results dashboard</t>
  </si>
  <si>
    <t xml:space="preserve">Re-scores and audits results</t>
  </si>
  <si>
    <t xml:space="preserve">Writes the report and teacher stories</t>
  </si>
  <si>
    <t xml:space="preserve">Funds the final push</t>
  </si>
  <si>
    <t xml:space="preserve">Runs the end test in a Kenyan class</t>
  </si>
  <si>
    <t xml:space="preserve">Signs off the final list and settles disputes about rules</t>
  </si>
  <si>
    <t xml:space="preserve">Chooses which 50 schemes matter most for poor UP families</t>
  </si>
  <si>
    <t xml:space="preserve">Reads government orders and writes each scheme card in plain words</t>
  </si>
  <si>
    <t xml:space="preserve">Turns the cards into a searchable sheet the helper can read</t>
  </si>
  <si>
    <t xml:space="preserve">Compares every card line by line with the official source</t>
  </si>
  <si>
    <t xml:space="preserve">Trains the first village volunteers on the same answers</t>
  </si>
  <si>
    <t xml:space="preserve">Maps NGOs and CSCs in Sitapur and Banda for Stage 3</t>
  </si>
  <si>
    <t xml:space="preserve">Writes the answer pack for each language from the checked cards</t>
  </si>
  <si>
    <t xml:space="preserve">Builds the WhatsApp flows, voice notes included</t>
  </si>
  <si>
    <t xml:space="preserve">Scores test answers and blocks any that ask for ID numbers</t>
  </si>
  <si>
    <t xml:space="preserve">Records invitations that recruit volunteers and testers</t>
  </si>
  <si>
    <t xml:space="preserve">Funds messaging fees and volunteer travel</t>
  </si>
  <si>
    <t xml:space="preserve">Native speakers ask real questions and flag wrong or confusing answers</t>
  </si>
  <si>
    <t xml:space="preserve">Runs CSC and tehsil trips and settles problems with offices</t>
  </si>
  <si>
    <t xml:space="preserve">Schedules seeding camps and certificate runs by block</t>
  </si>
  <si>
    <t xml:space="preserve">Keeps the family-code tracker that holds no ID numbers</t>
  </si>
  <si>
    <t xml:space="preserve">Checks each form's checklist before it is sent</t>
  </si>
  <si>
    <t xml:space="preserve">Funds stipends and bus fares</t>
  </si>
  <si>
    <t xml:space="preserve">Volunteers sit with families and list missing papers</t>
  </si>
  <si>
    <t xml:space="preserve">Escalates stuck cases through IGRS or RTI</t>
  </si>
  <si>
    <t xml:space="preserve">Groups failures by cause and books the bank fixes</t>
  </si>
  <si>
    <t xml:space="preserve">Explains DBT failure codes and how to fix each one</t>
  </si>
  <si>
    <t xml:space="preserve">Confirms payment with the family, via portal status and passbook</t>
  </si>
  <si>
    <t xml:space="preserve">Writes consented stories of families who were paid</t>
  </si>
  <si>
    <t xml:space="preserve">Signs off the final count of 310</t>
  </si>
  <si>
    <t xml:space="preserve">Tracks withdrawal dates for each constituency</t>
  </si>
  <si>
    <t xml:space="preserve">Spots missing pages and revised affidavits</t>
  </si>
  <si>
    <t xml:space="preserve">Scripts the downloads and logs file hashes</t>
  </si>
  <si>
    <t xml:space="preserve">Matches every file to the Form 7A list</t>
  </si>
  <si>
    <t xml:space="preserve">Collects conflict-of-interest declarations and keeps the team neutral</t>
  </si>
  <si>
    <t xml:space="preserve">Schedules constituencies so all 310 finish on time</t>
  </si>
  <si>
    <t xml:space="preserve">Writes profiles from the affidavit and the case glossary</t>
  </si>
  <si>
    <t xml:space="preserve">Builds the OCR pre-fill so writers start from a draft</t>
  </si>
  <si>
    <t xml:space="preserve">First check of every figure against the PDF</t>
  </si>
  <si>
    <t xml:space="preserve">Recruits Marathi writers and Checkers</t>
  </si>
  <si>
    <t xml:space="preserve">Funds the legal review and the translators</t>
  </si>
  <si>
    <t xml:space="preserve">Reads profiles on a phone and flags confusing lines</t>
  </si>
  <si>
    <t xml:space="preserve">Handles candidate correction requests within 12 hours</t>
  </si>
  <si>
    <t xml:space="preserve">Runs the equal-treatment audit across all 310</t>
  </si>
  <si>
    <t xml:space="preserve">Legal read of profiles with criminal cases</t>
  </si>
  <si>
    <t xml:space="preserve">Freezes approved profiles and records version history</t>
  </si>
  <si>
    <t xml:space="preserve">Second independent check of each profile</t>
  </si>
  <si>
    <t xml:space="preserve">Calls the hard stop at the silence period</t>
  </si>
  <si>
    <t xml:space="preserve">Runs the pages and the visit counter</t>
  </si>
  <si>
    <t xml:space="preserve">Hunts for fake or edited copies and reports them</t>
  </si>
  <si>
    <t xml:space="preserve">Writes the neutral share message and the reach plan</t>
  </si>
  <si>
    <t xml:space="preserve">Shares the constituency link in groups they belong to</t>
  </si>
  <si>
    <t xml:space="preserve">Brings rider groups and RWAs on board</t>
  </si>
  <si>
    <t xml:space="preserve">Picks wards and fills gaps in coverage</t>
  </si>
  <si>
    <t xml:space="preserve">Tags who owns each road</t>
  </si>
  <si>
    <t xml:space="preserve">Runs the pin form and builds the ward scoreboard</t>
  </si>
  <si>
    <t xml:space="preserve">Removes duplicates and re-visits a random 5%</t>
  </si>
  <si>
    <t xml:space="preserve">Makes the 30-second 'how to pin safely' video</t>
  </si>
  <si>
    <t xml:space="preserve">Funds pin rewards and hosting</t>
  </si>
  <si>
    <t xml:space="preserve">Photos and pins potholes on routes they already take</t>
  </si>
  <si>
    <t xml:space="preserve">Spreads filing across people so no account is flagged</t>
  </si>
  <si>
    <t xml:space="preserve">Routes metro, NHAI and utility-trench pins to the right office</t>
  </si>
  <si>
    <t xml:space="preserve">Drafts complaint text with location, landmark and photo</t>
  </si>
  <si>
    <t xml:space="preserve">Looks up complaint IDs to confirm they exist</t>
  </si>
  <si>
    <t xml:space="preserve">Files drafts from their own Sahaaya login</t>
  </si>
  <si>
    <t xml:space="preserve">Chases old complaints with the ward engineer</t>
  </si>
  <si>
    <t xml:space="preserve">Queues follow-ups and RTIs</t>
  </si>
  <si>
    <t xml:space="preserve">Keeps the scoreboard updating weekly</t>
  </si>
  <si>
    <t xml:space="preserve">Presents the scoreboard at ward committee meetings</t>
  </si>
  <si>
    <t xml:space="preserve">Reports a pothole that reopens on their route</t>
  </si>
  <si>
    <t xml:space="preserve">Writes the 90-day ward report</t>
  </si>
  <si>
    <t xml:space="preserve">Judges whether a patch is level and lasting</t>
  </si>
  <si>
    <t xml:space="preserve">Visits 'closed' complaints and takes after-photos</t>
  </si>
  <si>
    <t xml:space="preserve">Shares the results with RWAs and the media</t>
  </si>
  <si>
    <t xml:space="preserve">Funds the verification visits</t>
  </si>
  <si>
    <t xml:space="preserve">Splits 4 districts among 4 district owners</t>
  </si>
  <si>
    <t xml:space="preserve">Draws a fair 100-school sample from UDISE+</t>
  </si>
  <si>
    <t xml:space="preserve">Finds the right PIO and appellate officer for each block</t>
  </si>
  <si>
    <t xml:space="preserve">Sets up the shared school sheet</t>
  </si>
  <si>
    <t xml:space="preserve">Spot-checks 10 UDISE codes</t>
  </si>
  <si>
    <t xml:space="preserve">Recruits retired teachers in each district</t>
  </si>
  <si>
    <t xml:space="preserve">Sets the filing date so all clocks start together</t>
  </si>
  <si>
    <t xml:space="preserve">Writes the one-page Hindi request</t>
  </si>
  <si>
    <t xml:space="preserve">Prints, posts and logs 100 requests</t>
  </si>
  <si>
    <t xml:space="preserve">Matches postal receipts to tracker rows</t>
  </si>
  <si>
    <t xml:space="preserve">Funds fees and registered post</t>
  </si>
  <si>
    <t xml:space="preserve">Signs requests as a local parent where willing</t>
  </si>
  <si>
    <t xml:space="preserve">Assigns each late reply to a named owner</t>
  </si>
  <si>
    <t xml:space="preserve">Groups 59 appeals into district trips</t>
  </si>
  <si>
    <t xml:space="preserve">Files first appeals and drafts second appeals</t>
  </si>
  <si>
    <t xml:space="preserve">Keeps the deadline tracker and appeal templates</t>
  </si>
  <si>
    <t xml:space="preserve">Codes replies and re-checks 1 in 5</t>
  </si>
  <si>
    <t xml:space="preserve">Writes the Hindi appeal guide and recruits filers</t>
  </si>
  <si>
    <t xml:space="preserve">Pays bus fares to offices and Patna</t>
  </si>
  <si>
    <t xml:space="preserve">Checks one school's public UDISE+ card</t>
  </si>
  <si>
    <t xml:space="preserve">Pairs visitors and books visit days with schools</t>
  </si>
  <si>
    <t xml:space="preserve">Turns grant heads into a 12-item checklist</t>
  </si>
  <si>
    <t xml:space="preserve">Trains visitors on what each grant should buy</t>
  </si>
  <si>
    <t xml:space="preserve">Re-visits 20 schools at random</t>
  </si>
  <si>
    <t xml:space="preserve">Funds visit travel</t>
  </si>
  <si>
    <t xml:space="preserve">Visits a school and photographs the checklist items</t>
  </si>
  <si>
    <t xml:space="preserve">Approves publication</t>
  </si>
  <si>
    <t xml:space="preserve">Signs off the education-finance reading</t>
  </si>
  <si>
    <t xml:space="preserve">Builds the one-page report card template</t>
  </si>
  <si>
    <t xml:space="preserve">Runs the 15-day right of reply and checks numbers</t>
  </si>
  <si>
    <t xml:space="preserve">Presents cards at School Management Committee meetings</t>
  </si>
  <si>
    <t xml:space="preserve">Parents read their school's card and say if it is clear</t>
  </si>
  <si>
    <t xml:space="preserve">Wins host OK from CDAs and landowners</t>
  </si>
  <si>
    <t xml:space="preserve">Picks candidate and final sites</t>
  </si>
  <si>
    <t xml:space="preserve">Pulls flood history and maps who must approve sites</t>
  </si>
  <si>
    <t xml:space="preserve">Builds and installs the gauges</t>
  </si>
  <si>
    <t xml:space="preserve">Reviews the plan and checks 14 days of readings</t>
  </si>
  <si>
    <t xml:space="preserve">Collects residents' flood stories to show where water comes first</t>
  </si>
  <si>
    <t xml:space="preserve">Funds hardware before the rains</t>
  </si>
  <si>
    <t xml:space="preserve">Marks where their street floods</t>
  </si>
  <si>
    <t xml:space="preserve">Writes and tests alert text in three languages</t>
  </si>
  <si>
    <t xml:space="preserve">Builds the threshold rules and SMS pipeline</t>
  </si>
  <si>
    <t xml:space="preserve">Measures delivery time on test alerts</t>
  </si>
  <si>
    <t xml:space="preserve">Runs sign-up drives at markets and churches</t>
  </si>
  <si>
    <t xml:space="preserve">Funds a season of SMS credit</t>
  </si>
  <si>
    <t xml:space="preserve">Signs up and gets neighbours to sign up</t>
  </si>
  <si>
    <t xml:space="preserve">Runs the after-flood review</t>
  </si>
  <si>
    <t xml:space="preserve">Re-tunes thresholds</t>
  </si>
  <si>
    <t xml:space="preserve">Repairs failed sensors within 48 hours</t>
  </si>
  <si>
    <t xml:space="preserve">Compares alert times with flood photos</t>
  </si>
  <si>
    <t xml:space="preserve">Photographs the street mark when water arrives</t>
  </si>
  <si>
    <t xml:space="preserve">Negotiates and signs the handover</t>
  </si>
  <si>
    <t xml:space="preserve">Trains local technicians</t>
  </si>
  <si>
    <t xml:space="preserve">Watches technicians fix a fault alone</t>
  </si>
  <si>
    <t xml:space="preserve">Writes the plain manual in English and Yoruba</t>
  </si>
  <si>
    <t xml:space="preserve">Funds the 12-month running reserve</t>
  </si>
  <si>
    <t xml:space="preserve">Recruits volunteer lawyers and sets the letter list</t>
  </si>
  <si>
    <t xml:space="preserve">Ranks problems and maps each letter to the right moment</t>
  </si>
  <si>
    <t xml:space="preserve">Drafts letters with Georgia citations</t>
  </si>
  <si>
    <t xml:space="preserve">Turns drafts into fill-in templates with 3 boxes</t>
  </si>
  <si>
    <t xml:space="preserve">Licensed lawyer gives early review</t>
  </si>
  <si>
    <t xml:space="preserve">Finds renters to test plain language</t>
  </si>
  <si>
    <t xml:space="preserve">Funds lawyer honoraria and translation</t>
  </si>
  <si>
    <t xml:space="preserve">Shares a real renter problem</t>
  </si>
  <si>
    <t xml:space="preserve">Resolves lawyer disagreements</t>
  </si>
  <si>
    <t xml:space="preserve">Translates into Spanish and back-checks</t>
  </si>
  <si>
    <t xml:space="preserve">Signs off each letter as a Georgia lawyer</t>
  </si>
  <si>
    <t xml:space="preserve">Funds honoraria</t>
  </si>
  <si>
    <t xml:space="preserve">Reads letters and says what they mean</t>
  </si>
  <si>
    <t xml:space="preserve">Writes the decision paths, e.g. 'court date? → legal aid'</t>
  </si>
  <si>
    <t xml:space="preserve">Builds the tool</t>
  </si>
  <si>
    <t xml:space="preserve">Reviews privacy and accessibility</t>
  </si>
  <si>
    <t xml:space="preserve">Writes the help text</t>
  </si>
  <si>
    <t xml:space="preserve">Tests on their own phone</t>
  </si>
  <si>
    <t xml:space="preserve">Runs the follow-up survey</t>
  </si>
  <si>
    <t xml:space="preserve">Flags law changes</t>
  </si>
  <si>
    <t xml:space="preserve">Verifies reported outcomes on a sample</t>
  </si>
  <si>
    <t xml:space="preserve">Shares the tool at tenant meetings</t>
  </si>
  <si>
    <t xml:space="preserve">Sends a letter and reports back</t>
  </si>
  <si>
    <t xml:space="preserve">Splits the city into grid squares</t>
  </si>
  <si>
    <t xml:space="preserve">Builds the Overpass dashboard</t>
  </si>
  <si>
    <t xml:space="preserve">Re-surveys 10%</t>
  </si>
  <si>
    <t xml:space="preserve">Recruits mappers in outer districts</t>
  </si>
  <si>
    <t xml:space="preserve">Funds rewards for outer-district squares</t>
  </si>
  <si>
    <t xml:space="preserve">Surveys one grid square</t>
  </si>
  <si>
    <t xml:space="preserve">Meets district offices to agree a format</t>
  </si>
  <si>
    <t xml:space="preserve">Finds the right office for each point type and district</t>
  </si>
  <si>
    <t xml:space="preserve">Generates report text from the map data</t>
  </si>
  <si>
    <t xml:space="preserve">Checks each report has a reference number</t>
  </si>
  <si>
    <t xml:space="preserve">Files reports</t>
  </si>
  <si>
    <t xml:space="preserve">Chases slow offices</t>
  </si>
  <si>
    <t xml:space="preserve">Updates the map automatically</t>
  </si>
  <si>
    <t xml:space="preserve">Confirms photo dates</t>
  </si>
  <si>
    <t xml:space="preserve">Shares wins to keep mappers going</t>
  </si>
  <si>
    <t xml:space="preserve">Re-visits and photographs running water</t>
  </si>
  <si>
    <t xml:space="preserve">Runs the final pick</t>
  </si>
  <si>
    <t xml:space="preserve">Splits the job into 12 small design tasks</t>
  </si>
  <si>
    <t xml:space="preserve">Draws designs and cutting plans</t>
  </si>
  <si>
    <t xml:space="preserve">Checks slope, width and sheet fit</t>
  </si>
  <si>
    <t xml:space="preserve">Wheelchair users judge what feels usable</t>
  </si>
  <si>
    <t xml:space="preserve">Woodworker advises on fixes</t>
  </si>
  <si>
    <t xml:space="preserve">Builds prototypes</t>
  </si>
  <si>
    <t xml:space="preserve">Runs and records load tests</t>
  </si>
  <si>
    <t xml:space="preserve">Pays for sheets</t>
  </si>
  <si>
    <t xml:space="preserve">Tries ramps in a wheelchair</t>
  </si>
  <si>
    <t xml:space="preserve">Translates</t>
  </si>
  <si>
    <t xml:space="preserve">Checks the builds match the plan</t>
  </si>
  <si>
    <t xml:space="preserve">Writes the picture-first guide</t>
  </si>
  <si>
    <t xml:space="preserve">Pays translators</t>
  </si>
  <si>
    <t xml:space="preserve">Builds once from the guide only</t>
  </si>
  <si>
    <t xml:space="preserve">Coordinates country leads</t>
  </si>
  <si>
    <t xml:space="preserve">Verifies photos and slope</t>
  </si>
  <si>
    <t xml:space="preserve">Shares builds to recruit more</t>
  </si>
  <si>
    <t xml:space="preserve">Sponsors sheets for build days</t>
  </si>
  <si>
    <t xml:space="preserve">Builds and logs ramps</t>
  </si>
  <si>
    <t xml:space="preserve">Recruits and trains the 24 volunteers</t>
  </si>
  <si>
    <t xml:space="preserve">Splits the 4 blocks into volunteer routes</t>
  </si>
  <si>
    <t xml:space="preserve">Builds the offline survey form</t>
  </si>
  <si>
    <t xml:space="preserve">Re-checks entries against photos and GPS</t>
  </si>
  <si>
    <t xml:space="preserve">Volunteers walk to each pump and run the 20-stroke test</t>
  </si>
  <si>
    <t xml:space="preserve">Hands the list to PHED Assistant Engineers in person</t>
  </si>
  <si>
    <t xml:space="preserve">Batches the list by mechanic area</t>
  </si>
  <si>
    <t xml:space="preserve">Sorts pumps by likely fault: washer, pipe or dry bore</t>
  </si>
  <si>
    <t xml:space="preserve">Confirms complaint numbers exist</t>
  </si>
  <si>
    <t xml:space="preserve">Files complaints on Sampark for their own village</t>
  </si>
  <si>
    <t xml:space="preserve">Follows up with PHED every week</t>
  </si>
  <si>
    <t xml:space="preserve">Gets panchayats to fund repairs from tied grants</t>
  </si>
  <si>
    <t xml:space="preserve">Shares the monthly fix count at block meetings</t>
  </si>
  <si>
    <t xml:space="preserve">Funds follow-up travel and caretaker training</t>
  </si>
  <si>
    <t xml:space="preserve">Confirms when their village pump gives water again</t>
  </si>
  <si>
    <t xml:space="preserve">Hands the data to the district</t>
  </si>
  <si>
    <t xml:space="preserve">Exports a clean dataset for PHED</t>
  </si>
  <si>
    <t xml:space="preserve">Re-tests fixed pumps after 30 days</t>
  </si>
  <si>
    <t xml:space="preserve">Writes the final report</t>
  </si>
  <si>
    <t xml:space="preserve">Reports a re-break straight away</t>
  </si>
  <si>
    <t xml:space="preserve">Decided to switch sensors after the first test failed</t>
  </si>
  <si>
    <t xml:space="preserve">Chose the sensor and read the datasheets</t>
  </si>
  <si>
    <t xml:space="preserve">Built the boards and firmware</t>
  </si>
  <si>
    <t xml:space="preserve">Ran the 48-hour side-by-side test</t>
  </si>
  <si>
    <t xml:space="preserve">Funded parts</t>
  </si>
  <si>
    <t xml:space="preserve">Collected real quotes</t>
  </si>
  <si>
    <t xml:space="preserve">Built 4 trial units</t>
  </si>
  <si>
    <t xml:space="preserve">Audited the cost sheet</t>
  </si>
  <si>
    <t xml:space="preserve">Wrote the honest stop note</t>
  </si>
  <si>
    <t xml:space="preserve">Teachers used them for 2 weeks</t>
  </si>
  <si>
    <t xml:space="preserve">Squad ID</t>
  </si>
  <si>
    <t xml:space="preserve">Squad</t>
  </si>
  <si>
    <t xml:space="preserve">Lead</t>
  </si>
  <si>
    <t xml:space="preserve">The bet</t>
  </si>
  <si>
    <t xml:space="preserve">Agents</t>
  </si>
  <si>
    <t xml:space="preserve">% of path</t>
  </si>
  <si>
    <t xml:space="preserve">Open spots</t>
  </si>
  <si>
    <t xml:space="preserve">Character</t>
  </si>
  <si>
    <t xml:space="preserve">Main blocker</t>
  </si>
  <si>
    <t xml:space="preserve">How the plan works</t>
  </si>
  <si>
    <t xml:space="preserve">Strengths</t>
  </si>
  <si>
    <t xml:space="preserve">Weaknesses</t>
  </si>
  <si>
    <t xml:space="preserve">Raised</t>
  </si>
  <si>
    <t xml:space="preserve">Needed</t>
  </si>
  <si>
    <t xml:space="preserve">% funded</t>
  </si>
  <si>
    <t xml:space="preserve">Roles needed</t>
  </si>
  <si>
    <t xml:space="preserve">Relations</t>
  </si>
  <si>
    <t xml:space="preserve">glio-dock</t>
  </si>
  <si>
    <t xml:space="preserve">Fold Gang</t>
  </si>
  <si>
    <t xml:space="preserve">Priya Nair</t>
  </si>
  <si>
    <t xml:space="preserve">Brute-force docking</t>
  </si>
  <si>
    <t xml:space="preserve">Test all 1 million molecules on rented computers. Wide net, fast.</t>
  </si>
  <si>
    <t xml:space="preserve">Running</t>
  </si>
  <si>
    <t xml:space="preserve">1 Checker</t>
  </si>
  <si>
    <t xml:space="preserve">Veterans · fastest squad</t>
  </si>
  <si>
    <t xml:space="preserve">1. Split a 1-million-molecule public library into 4 batches
2. Run each batch on rented cloud computers
3. Checkers re-run a random 20 from each batch
4. Pass the top results to the shortlist review</t>
  </si>
  <si>
    <t xml:space="preserve">Fast, experienced, good tooling.</t>
  </si>
  <si>
    <t xml:space="preserve">Wide screens give many false positives; compute is costly.</t>
  </si>
  <si>
    <t xml:space="preserve">1 Checker (computational chemistry)</t>
  </si>
  <si>
    <t xml:space="preserve">Competes with Wet Hands and Swarm 404 for shortlist slots; shares compute scripts with Swarm 404.</t>
  </si>
  <si>
    <t xml:space="preserve">glio-repurpose</t>
  </si>
  <si>
    <t xml:space="preserve">Wet Hands</t>
  </si>
  <si>
    <t xml:space="preserve">Ade Bello</t>
  </si>
  <si>
    <t xml:space="preserve">Repurpose approved drugs</t>
  </si>
  <si>
    <t xml:space="preserve">Screen 2,800 drugs that are already safe in people.</t>
  </si>
  <si>
    <t xml:space="preserve">1 Expert</t>
  </si>
  <si>
    <t xml:space="preserve">Careful · low cost</t>
  </si>
  <si>
    <t xml:space="preserve">Needs a partner lab slot</t>
  </si>
  <si>
    <t xml:space="preserve">1. Pull the list of about 2,800 approved drugs
2. Screen them against the ranked targets
3. Experts check published evidence on brain reach
4. Get partner-lab quotes for the top picks</t>
  </si>
  <si>
    <t xml:space="preserve">Approved drugs have known human safety, which is the fastest path to a trial.</t>
  </si>
  <si>
    <t xml:space="preserve">Small list; waiting on a lab slot.</t>
  </si>
  <si>
    <t xml:space="preserve">1 Expert (pharmacology)</t>
  </si>
  <si>
    <t xml:space="preserve">Competes with Fold Gang; feeds candidate ideas to Whole Health.</t>
  </si>
  <si>
    <t xml:space="preserve">glio-gen</t>
  </si>
  <si>
    <t xml:space="preserve">Swarm 404</t>
  </si>
  <si>
    <t xml:space="preserve">Mo Hassan</t>
  </si>
  <si>
    <t xml:space="preserve">Generate new molecules</t>
  </si>
  <si>
    <t xml:space="preserve">200 small agents design brand-new molecules and vote on the best.</t>
  </si>
  <si>
    <t xml:space="preserve">Small and scrappy · mostly agents</t>
  </si>
  <si>
    <t xml:space="preserve">Nobody has checked the designs for toxicity</t>
  </si>
  <si>
    <t xml:space="preserve">1. Train a model on public data
2. Agents generate designs and vote
3. Run an automated safety screen; Checkers review the report
4. Send the best to the shortlist review</t>
  </si>
  <si>
    <t xml:space="preserve">Cheap and creative; mostly agents.</t>
  </si>
  <si>
    <t xml:space="preserve">No one had checked the designs; new molecules take longest to reach a trial.</t>
  </si>
  <si>
    <t xml:space="preserve">1 Checker (medicinal chemistry)</t>
  </si>
  <si>
    <t xml:space="preserve">Competes with Fold Gang; borrows its compute scripts.</t>
  </si>
  <si>
    <t xml:space="preserve">glio-whole</t>
  </si>
  <si>
    <t xml:space="preserve">Whole Health</t>
  </si>
  <si>
    <t xml:space="preserve">Sana Malik</t>
  </si>
  <si>
    <t xml:space="preserve">Diet + drug combos</t>
  </si>
  <si>
    <t xml:space="preserve">Pair approved drugs with diets that slow tumours.</t>
  </si>
  <si>
    <t xml:space="preserve">Anyone</t>
  </si>
  <si>
    <t xml:space="preserve">Patient-led</t>
  </si>
  <si>
    <t xml:space="preserve">Needs 9 more backers to launch</t>
  </si>
  <si>
    <t xml:space="preserve">1. Review published studies on diet with approved treatments
2. Pick combinations with existing evidence
3. Propose them for the shortlist as research only
4. Work with GBM Families Circle on plain summaries</t>
  </si>
  <si>
    <t xml:space="preserve">Patient-led; low cost.</t>
  </si>
  <si>
    <t xml:space="preserve">Weak evidence base; must avoid giving medical advice.</t>
  </si>
  <si>
    <t xml:space="preserve">Anyone; 9 more backers to launch</t>
  </si>
  <si>
    <t xml:space="preserve">Proposed; would take ideas from Wet Hands.</t>
  </si>
  <si>
    <t xml:space="preserve">aid-first</t>
  </si>
  <si>
    <t xml:space="preserve">First Aiders</t>
  </si>
  <si>
    <t xml:space="preserve">Nurses write, agents translate</t>
  </si>
  <si>
    <t xml:space="preserve">Nurses pick and write the guides, agents draft translations, native speakers fix them.</t>
  </si>
  <si>
    <t xml:space="preserve">3 Experts (any language) · 2 Checkers</t>
  </si>
  <si>
    <t xml:space="preserve">New and keen</t>
  </si>
  <si>
    <t xml:space="preserve">1. Nurses pick 20 topics and write short plain English masters from IFRC 2020.
2. A language lead builds a 30-word glossary for each language.
3. Agents draft all 20 guides; a native speaker fixes them in Weblate.
4. A second native speaker checks; 1 in 10 is back-translated for a nurse to compare.
5. Publish as an offline app and A5 cards under CC BY 4.0.</t>
  </si>
  <si>
    <t xml:space="preserve">Led by a working ER nurse; simple loop that agents speed up a lot.</t>
  </si>
  <si>
    <t xml:space="preserve">Only 3 people today; no speakers yet for 30 of the 50 languages.</t>
  </si>
  <si>
    <t xml:space="preserve">3 Experts (native speakers of Hausa, Amharic, Quechua), 2 Checkers (nurse or doctor), 1 Maker (illustrator)</t>
  </si>
  <si>
    <t xml:space="preserve">The only squad. Welcomes merges from any translator group.</t>
  </si>
  <si>
    <t xml:space="preserve">llm-base</t>
  </si>
  <si>
    <t xml:space="preserve">Bharat Base</t>
  </si>
  <si>
    <t xml:space="preserve">Train our own from scratch</t>
  </si>
  <si>
    <t xml:space="preserve">Build a small model from zero, trained only on Indian text.</t>
  </si>
  <si>
    <t xml:space="preserve">2 Experts (Odia, Assamese) · 1 Patron</t>
  </si>
  <si>
    <t xml:space="preserve">Veterans · big GPU bill</t>
  </si>
  <si>
    <t xml:space="preserve">GPU money runs out in 3 weeks</t>
  </si>
  <si>
    <t xml:space="preserve">1. Run 100M-parameter test models on 8 GPUs to pick the language mix (how much rare-language text to repeat).
2. Freeze a 64k-token shared tokenizer once every script passes the 1.5× token-per-word test.
3. Train one 1–2B model on 64 GPUs with checkpoints every 2 hours so a crash costs little.
4. Instruction-tune on about 2,000 native-written examples per language.
5. Fold in Fine-Tune Force as a second arm: continue training an open base model on the same data, and keep whichever wins in Stage 3.</t>
  </si>
  <si>
    <t xml:space="preserve">Experienced trainers. A from-scratch model means a clean licence and a tokenizer built for Indic scripts from day one.</t>
  </si>
  <si>
    <t xml:space="preserve">Biggest GPU bill. A small from-scratch model will reason worse than a tuned larger open model.</t>
  </si>
  <si>
    <t xml:space="preserve">2 Experts (Odia, Assamese), 1 Checker (ML evaluation), 1 Patron</t>
  </si>
  <si>
    <t xml:space="preserve">Merging with Fine-Tune Force; fed by Data Desh's cleaned text</t>
  </si>
  <si>
    <t xml:space="preserve">llm-tune</t>
  </si>
  <si>
    <t xml:space="preserve">Fine-Tune Force</t>
  </si>
  <si>
    <t xml:space="preserve">Arnav Singh</t>
  </si>
  <si>
    <t xml:space="preserve">Tune an existing open model</t>
  </si>
  <si>
    <t xml:space="preserve">Start from a good open model and teach it Indian languages.</t>
  </si>
  <si>
    <t xml:space="preserve">—</t>
  </si>
  <si>
    <t xml:space="preserve">Merging into Bharat Base</t>
  </si>
  <si>
    <t xml:space="preserve">Same data as Bharat Base, so they're joining forces</t>
  </si>
  <si>
    <t xml:space="preserve">1. Start from an open 1–3B model whose licence allows redistribution.
2. Extend its vocabulary with Indic tokens, then continue training it on Data Desh's text.
3. Tested on 5 languages (Hindi, Punjabi, Tamil, Telugu, Urdu): held-out loss fell in all 5. Now joining Bharat Base as its 'tuned' arm.</t>
  </si>
  <si>
    <t xml:space="preserve">Cheap and fast. It inherits reasoning from a stronger base model.</t>
  </si>
  <si>
    <t xml:space="preserve">It depends on another model's licence and tokenizer. Rare scripts still break into many tokens unless the vocabulary is extended.</t>
  </si>
  <si>
    <t xml:space="preserve">None; members move to Bharat Base</t>
  </si>
  <si>
    <t xml:space="preserve">Merging into Bharat Base; uses the same data as Bharat Base from Data Desh</t>
  </si>
  <si>
    <t xml:space="preserve">llm-data</t>
  </si>
  <si>
    <t xml:space="preserve">Data Desh</t>
  </si>
  <si>
    <t xml:space="preserve">Fatima Sheikh</t>
  </si>
  <si>
    <t xml:space="preserve">Best data wins</t>
  </si>
  <si>
    <t xml:space="preserve">Spend all effort on clean, checked text. Hand it to whoever trains.</t>
  </si>
  <si>
    <t xml:space="preserve">3 Checkers (any Indian language)</t>
  </si>
  <si>
    <t xml:space="preserve">Linguists</t>
  </si>
  <si>
    <t xml:space="preserve">1. Paid native-speaker Experts find sources, fix legacy fonts and clean text, about 10,000 lines per quest.
2. Agents run language-ID, deduplication and personal-data stripping. Humans check samples of 200 lines.
3. Keep a licence log line for every source; anything unclear is dropped.
4. Write and freeze native test questions per language before any training.
5. Hand the frozen corpus to whoever trains.</t>
  </si>
  <si>
    <t xml:space="preserve">Linguists who read 6 or more scripts. Their clean data helps every squad.</t>
  </si>
  <si>
    <t xml:space="preserve">They do not train, so their payoff depends on Bharat Base finishing. Checkers for rare languages are hard to find.</t>
  </si>
  <si>
    <t xml:space="preserve">3 Checkers (any Indian language, especially Bodo, Dogri, Santali)</t>
  </si>
  <si>
    <t xml:space="preserve">Feeds Bharat Base and Fine-Tune Force; no competition</t>
  </si>
  <si>
    <t xml:space="preserve">har-loop</t>
  </si>
  <si>
    <t xml:space="preserve">Loop Lab</t>
  </si>
  <si>
    <t xml:space="preserve">One strong agent</t>
  </si>
  <si>
    <t xml:space="preserve">One capable agent loop with strict limits on money and tools.</t>
  </si>
  <si>
    <t xml:space="preserve">1 Maker · 1 Checker</t>
  </si>
  <si>
    <t xml:space="preserve">Veterans</t>
  </si>
  <si>
    <t xml:space="preserve">The browser tool sometimes clicks the wrong button</t>
  </si>
  <si>
    <t xml:space="preserve">1. One agent loop with hard caps on turns, tokens, time and money for each quest.
2. Every tool declares a manifest (what it reads, writes and spends) and runs in its own sandbox.
3. Anything outside the manifest pauses and asks the human.
4. Red-team attacks become CI tests; a tool only merges when its tests pass.</t>
  </si>
  <si>
    <t xml:space="preserve">Simple to reason about and audit. One trace per quest.</t>
  </si>
  <si>
    <t xml:space="preserve">One agent's mistakes are not caught by anything but the review step. Slow on big quests.</t>
  </si>
  <si>
    <t xml:space="preserve">1 Maker (browser automation), 1 Checker (security)</t>
  </si>
  <si>
    <t xml:space="preserve">Competes with Small Crew on the loop design; shares the tool manifests and red-team suite with them</t>
  </si>
  <si>
    <t xml:space="preserve">har-crew</t>
  </si>
  <si>
    <t xml:space="preserve">Small Crew</t>
  </si>
  <si>
    <t xml:space="preserve">Many small agents</t>
  </si>
  <si>
    <t xml:space="preserve">Lots of small agents that each do one job and check each other.</t>
  </si>
  <si>
    <t xml:space="preserve">1 Planner</t>
  </si>
  <si>
    <t xml:space="preserve">1. Split each quest into 12 small jobs, each done by a narrow agent with only the tools that job needs.
2. A planner agent hands out jobs; maker and checker agents never share context.
3. The agent that reads untrusted web text has no access to secrets or payments.
4. Humans see only the final result plus the checker agent's notes.</t>
  </si>
  <si>
    <t xml:space="preserve">Least privilege comes naturally, because each agent holds one permission. Agents check each other.</t>
  </si>
  <si>
    <t xml:space="preserve">30 agents mean a higher model bill and harder debugging. Hand-offs lose context.</t>
  </si>
  <si>
    <t xml:space="preserve">Competes with Loop Lab; its checker agent design feeds the Stage 3 review step for both</t>
  </si>
  <si>
    <t xml:space="preserve">reef-ops</t>
  </si>
  <si>
    <t xml:space="preserve">Reef Ops</t>
  </si>
  <si>
    <t xml:space="preserve">Tomás Reyes</t>
  </si>
  <si>
    <t xml:space="preserve">Divers check, satellites scale</t>
  </si>
  <si>
    <t xml:space="preserve">Divers score 200 reefs, then the map learns from them.</t>
  </si>
  <si>
    <t xml:space="preserve">2 Experts (divers) · 1 Checker</t>
  </si>
  <si>
    <t xml:space="preserve">Hands-on</t>
  </si>
  <si>
    <t xml:space="preserve">Out of money for dive trips; 30 reports wait for a checker</t>
  </si>
  <si>
    <t xml:space="preserve">1. Divers lay a 50 m transect at each site and photograph 20 quadrats.
2. Photos are annotated in CoralNet for cover classes; colour is scored with the Coral Health Chart.
3. Each site gets GPS, depth and date, then is matched to the nearest cloud-free satellite image.
4. Checkers pass every report before it trains the model.
5. Add snorkel surveys on reef flats to cut the cost per site.</t>
  </si>
  <si>
    <t xml:space="preserve">Real ground truth from trained divers. Results experts will trust.</t>
  </si>
  <si>
    <t xml:space="preserve">Expensive and slow, and weather-bound. Stuck at 74 sites with 30 reports unchecked.</t>
  </si>
  <si>
    <t xml:space="preserve">2 Experts (certified divers), 1 Checker (marine biology)</t>
  </si>
  <si>
    <t xml:space="preserve">Feeds Sky Eyes: their maps can't be trusted without Reef Ops' ground truth</t>
  </si>
  <si>
    <t xml:space="preserve">reef-sky</t>
  </si>
  <si>
    <t xml:space="preserve">Sky Eyes</t>
  </si>
  <si>
    <t xml:space="preserve">Coral (agent)</t>
  </si>
  <si>
    <t xml:space="preserve">Satellite only</t>
  </si>
  <si>
    <t xml:space="preserve">Agents read satellite photos, no divers needed.</t>
  </si>
  <si>
    <t xml:space="preserve">1 Checker (any human)</t>
  </si>
  <si>
    <t xml:space="preserve">🤖 Agents only · no human has checked their work</t>
  </si>
  <si>
    <t xml:space="preserve">No human checker yet</t>
  </si>
  <si>
    <t xml:space="preserve">1. Agents classify satellite tiles for reef cover and brightening.
2. They compare each tile to sea-temperature heat stress to flag likely bleaching.
3. They produce draft maps for all candidate sites.</t>
  </si>
  <si>
    <t xml:space="preserve">Fast and cheap; covers far more area than divers can.</t>
  </si>
  <si>
    <t xml:space="preserve">No human has checked any map, so none of its 40 sites count yet. It can't tell bleached coral from sand without ground truth.</t>
  </si>
  <si>
    <t xml:space="preserve">Competes with Reef Ops on cost; depends on Reef Ops' ground truth to prove itself; likely to become Stage 3's model team</t>
  </si>
  <si>
    <t xml:space="preserve">lead-pipes</t>
  </si>
  <si>
    <t xml:space="preserve">Pipe Finders</t>
  </si>
  <si>
    <t xml:space="preserve">Records + home photos</t>
  </si>
  <si>
    <t xml:space="preserve">Start from city records, then people photo the pipe at home.</t>
  </si>
  <si>
    <t xml:space="preserve">Proposed · not launched</t>
  </si>
  <si>
    <t xml:space="preserve">Needs 54 more backers to launch</t>
  </si>
  <si>
    <t xml:space="preserve">1. Start from the city's public inventory and focus only on 'unknown' lines.
2. Residents do a magnet-and-scratch test and photograph the pipe where it enters the house.
3. An agent makes a first call; a human Checker confirms; a plumber checks 40 random homes.
4. Publish a block-level map and give the data to the city.</t>
  </si>
  <si>
    <t xml:space="preserve">Led by a retired water engineer. Low cost. Works with the city's legal deadline, not against it.</t>
  </si>
  <si>
    <t xml:space="preserve">Two people so far. Depends on renters and older blocks taking part.</t>
  </si>
  <si>
    <t xml:space="preserve">Anyone; especially 1 Maker (forms/maps), 2 Checkers, 1 Storyteller in Dayton</t>
  </si>
  <si>
    <t xml:space="preserve">No competing squad yet</t>
  </si>
  <si>
    <t xml:space="preserve">tutor-chalk</t>
  </si>
  <si>
    <t xml:space="preserve">Chalk Squad</t>
  </si>
  <si>
    <t xml:space="preserve">Offline app on cheap phones</t>
  </si>
  <si>
    <t xml:space="preserve">One small app that works without internet, tested in real classes.</t>
  </si>
  <si>
    <t xml:space="preserve">One step from winning</t>
  </si>
  <si>
    <t xml:space="preserve">Kenya results not in yet</t>
  </si>
  <si>
    <t xml:space="preserve">1. Map 10 curricula to one shared list of skills.
2. Build a small offline app with short exercises and simple hints that runs on a 1–2 GB phone.
3. Pilot in 25 classes: 1 phone per small group, 3 sessions a week for 4 weeks.
4. Give the same 20-minute EGMA-style test before and after, in pilot and comparison classes.
5. Re-check every score and publish all results, good or bad.</t>
  </si>
  <si>
    <t xml:space="preserve">Led by a working head teacher; the app already works; 9 of 10 countries done.</t>
  </si>
  <si>
    <t xml:space="preserve">Small samples per country; depends on school calendars; one open Checker spot.</t>
  </si>
  <si>
    <t xml:space="preserve">1 Checker (education statistics), 1 User in Nairobi or Kisumu to help run the test</t>
  </si>
  <si>
    <t xml:space="preserve">Only squad; may later feed a larger follow-up study run by the partner university.</t>
  </si>
  <si>
    <t xml:space="preserve">ben-haq</t>
  </si>
  <si>
    <t xml:space="preserve">Haq Helpers</t>
  </si>
  <si>
    <t xml:space="preserve">Divya Reddy</t>
  </si>
  <si>
    <t xml:space="preserve">WhatsApp helper</t>
  </si>
  <si>
    <t xml:space="preserve">A WhatsApp helper that answers in 6 languages.</t>
  </si>
  <si>
    <t xml:space="preserve">1 Expert (Bhojpuri) · 1 User</t>
  </si>
  <si>
    <t xml:space="preserve">Tech-first</t>
  </si>
  <si>
    <t xml:space="preserve">1. Turn the 50 scheme cards into question-and-answer packs
2. A native speaker writes and records each language pack; the agent only drafts
3. Families send a text or voice note; the helper replies with the scheme, the papers and the nearest CSC
4. The helper never asks for ID numbers; hard cases are handed to the nearest village volunteer</t>
  </si>
  <si>
    <t xml:space="preserve">Reaches anyone with WhatsApp, costs little per answer, and every answer traces back to a checked card.</t>
  </si>
  <si>
    <t xml:space="preserve">Can't help families without a smartphone, and a wrong answer spreads fast.</t>
  </si>
  <si>
    <t xml:space="preserve">1 Expert (Bhojpuri), 1 User tester (Bundeli)</t>
  </si>
  <si>
    <t xml:space="preserve">Feeds Village Volunteers and NGO Bridge with the same checked answers; competes with them on Stage 2 language count.</t>
  </si>
  <si>
    <t xml:space="preserve">ben-village</t>
  </si>
  <si>
    <t xml:space="preserve">Village Volunteers</t>
  </si>
  <si>
    <t xml:space="preserve">One volunteer per village</t>
  </si>
  <si>
    <t xml:space="preserve">Train one trusted person in each village to help neighbours.</t>
  </si>
  <si>
    <t xml:space="preserve">2 Leaders (field)</t>
  </si>
  <si>
    <t xml:space="preserve">Ground-first</t>
  </si>
  <si>
    <t xml:space="preserve">1. Pick one trusted person per village: a self-help group member, a retired teacher, a ration-shop helper
2. Train them in a half-day session at the panchayat bhawan with paper checklists
3. Each volunteer sits with 25 families and lists missing schemes and papers
4. Volunteers walk families through CSC visits and check forms before they're sent</t>
  </si>
  <si>
    <t xml:space="preserve">Trust. Families open up to a neighbour, and it works without smartphones.</t>
  </si>
  <si>
    <t xml:space="preserve">Slow to scale, depends on a few people, and quality varies by volunteer.</t>
  </si>
  <si>
    <t xml:space="preserve">2 Leaders (field, Sitapur and Banda)</t>
  </si>
  <si>
    <t xml:space="preserve">Uses Haq Helpers' answers; will likely merge field work with NGO Bridge in Banda.</t>
  </si>
  <si>
    <t xml:space="preserve">ben-ngo</t>
  </si>
  <si>
    <t xml:space="preserve">NGO Bridge</t>
  </si>
  <si>
    <t xml:space="preserve">Rahul Verma</t>
  </si>
  <si>
    <t xml:space="preserve">Work through local NGOs</t>
  </si>
  <si>
    <t xml:space="preserve">Partner with NGOs that already help families with forms.</t>
  </si>
  <si>
    <t xml:space="preserve">Partnerships</t>
  </si>
  <si>
    <t xml:space="preserve">Waiting on 3 NGOs to reply</t>
  </si>
  <si>
    <t xml:space="preserve">1. List NGOs and CSCs in Sitapur and Banda that already help with forms
2. Sign a one-page pledge: free help, no document copies kept
3. Share the checked scheme cards and the helper number
4. Track payments and fix DBT failures with bank branches</t>
  </si>
  <si>
    <t xml:space="preserve">Borrows staff and trust that already exist; strong on banking and DBT fixes.</t>
  </si>
  <si>
    <t xml:space="preserve">Waiting on 3 NGOs to reply; each partner has its own priorities.</t>
  </si>
  <si>
    <t xml:space="preserve">Competes with Village Volunteers in Banda; feeds Stage 4 payment tracking for all squads.</t>
  </si>
  <si>
    <t xml:space="preserve">cand-clear</t>
  </si>
  <si>
    <t xml:space="preserve">Vote Clear</t>
  </si>
  <si>
    <t xml:space="preserve">Plain one-pagers</t>
  </si>
  <si>
    <t xml:space="preserve">Turn every affidavit into the same plain one-page profile.</t>
  </si>
  <si>
    <t xml:space="preserve">3 Experts (Marathi) · 4 Checkers</t>
  </si>
  <si>
    <t xml:space="preserve">Racing a deadline</t>
  </si>
  <si>
    <t xml:space="preserve">12 days to voting day</t>
  </si>
  <si>
    <t xml:space="preserve">1. Download every Form 26 and lock the list against Form 7A
2. OCR pre-fills a draft; a human writes the one-pager with a page reference for every fact
3. First check while writing, then a second independent check, then a 12-hour correction window
4. Publish one page per candidate in ballot order, and share per constituency until the silence period</t>
  </si>
  <si>
    <t xml:space="preserve">One template and one process for everyone, so it's provably neutral. A journalist lead and law-student experts.</t>
  </si>
  <si>
    <t xml:space="preserve">Short of Marathi writers and Checkers with 12 days left, and only one squad, so there's no backup if it stalls.</t>
  </si>
  <si>
    <t xml:space="preserve">3 Experts (Marathi), 4 Checkers</t>
  </si>
  <si>
    <t xml:space="preserve">The only squad. It borrows second Checkers from other missions' Checker pool to stay independent.</t>
  </si>
  <si>
    <t xml:space="preserve">pot-patrol</t>
  </si>
  <si>
    <t xml:space="preserve">Pothole Patrol</t>
  </si>
  <si>
    <t xml:space="preserve">Riders pin as they ride</t>
  </si>
  <si>
    <t xml:space="preserve">Delivery riders and commuters pin potholes on routes they already take.</t>
  </si>
  <si>
    <t xml:space="preserve">Anyone with a phone</t>
  </si>
  <si>
    <t xml:space="preserve">Big and growing</t>
  </si>
  <si>
    <t xml:space="preserve">1. Riders and commuters pin potholes on routes they already travel, but only when stopped
2. Checkers merge duplicates within 15 m and tag the road owner
3. Agents draft complaints; people file them from their own accounts
4. Follow up at day 15, 30 and 60, then return for an after-photo</t>
  </si>
  <si>
    <t xml:space="preserve">Huge free coverage from people already on the road. Simple quests.</t>
  </si>
  <si>
    <t xml:space="preserve">Pins cluster on delivery routes and miss residential lanes. One big squad, so quality varies.</t>
  </si>
  <si>
    <t xml:space="preserve">Anyone with a phone; 2 Checkers; 1 Expert (road ownership)</t>
  </si>
  <si>
    <t xml:space="preserve">The only squad for now. It may split into one squad per city corporation once filing starts.</t>
  </si>
  <si>
    <t xml:space="preserve">rti-watch</t>
  </si>
  <si>
    <t xml:space="preserve">School Watch</t>
  </si>
  <si>
    <t xml:space="preserve">File and follow up in person</t>
  </si>
  <si>
    <t xml:space="preserve">File every request, and appeal in person when replies are late.</t>
  </si>
  <si>
    <t xml:space="preserve">4 people in Bihar (appeals)</t>
  </si>
  <si>
    <t xml:space="preserve">Retired teachers + students</t>
  </si>
  <si>
    <t xml:space="preserve">59 late replies need appeals filed in person</t>
  </si>
  <si>
    <t xml:space="preserve">1. Retired teachers in each district own 25 schools each.
2. One standard request goes to every block PIO, filed by registered post with a ₹10 postal order.
3. A shared tracker flags day 30 (reply due), day 60 (file first appeal) and day 90+ (second appeal).
4. Late appeals are grouped by district office so one trip files 5 to 10 appeals and comes back with stamped receipts.
5. Students code replies into a sheet. Two Checkers re-read 1 in 5.</t>
  </si>
  <si>
    <t xml:space="preserve">Retired teachers know how block offices work, speak Hindi and Bhojpuri, and are taken seriously by officials.</t>
  </si>
  <si>
    <t xml:space="preserve">Only 5 people, mostly in Patna. Appeals in Gaya and Purnia wait for someone to travel, and Commission hearings need a person in Patna.</t>
  </si>
  <si>
    <t xml:space="preserve">4 Experts in Bihar for appeals (1 each in Gaya, Muzaffarpur, Purnia, Patna), 2 Checkers to code replies</t>
  </si>
  <si>
    <t xml:space="preserve">Only squad on this mission. Its tracker and appeal templates are reused by later squads.</t>
  </si>
  <si>
    <t xml:space="preserve">flood-watch</t>
  </si>
  <si>
    <t xml:space="preserve">Flood Watch</t>
  </si>
  <si>
    <t xml:space="preserve">Sensors + text alerts</t>
  </si>
  <si>
    <t xml:space="preserve">Cheap river sensors that text families when water rises fast.</t>
  </si>
  <si>
    <t xml:space="preserve">Waiting for OK</t>
  </si>
  <si>
    <t xml:space="preserve">1 Maker</t>
  </si>
  <si>
    <t xml:space="preserve">Plan waits for the creator's OK</t>
  </si>
  <si>
    <t xml:space="preserve">1. Map where water comes first, from residents' reports and OpenStreetMap.
2. Build ESP32 gauges with ultrasonic sensors, solar power and a 2G/4G modem. They report every 10 minutes.
3. Mount gauges on bridges and walls above the record flood line, with community OK.
4. When a reading crosses its site threshold, send an SMS to opted-in phones in the language each person chose.
5. Tune thresholds after every real flood, then hand over to the CDA and LCDA.</t>
  </si>
  <si>
    <t xml:space="preserve">Femi knows SMS systems from telecom work and lives on a street that floods. Low-cost open hardware.</t>
  </si>
  <si>
    <t xml:space="preserve">Only 3 people, no hydrologist yet, and no deal with a local body to take over.</t>
  </si>
  <si>
    <t xml:space="preserve">1 Maker (electronics), 1 Expert (hydrology), 1 Leader with CDA contacts</t>
  </si>
  <si>
    <t xml:space="preserve">Only squad. Its open hardware and alert text can feed later squads in other cities.</t>
  </si>
  <si>
    <t xml:space="preserve">renter-right</t>
  </si>
  <si>
    <t xml:space="preserve">Rent Right</t>
  </si>
  <si>
    <t xml:space="preserve">Templates checked by lawyers</t>
  </si>
  <si>
    <t xml:space="preserve">10 letters that cover most problems, each checked by a lawyer.</t>
  </si>
  <si>
    <t xml:space="preserve">1 Patron · 1 Checker (lawyer)</t>
  </si>
  <si>
    <t xml:space="preserve">Small</t>
  </si>
  <si>
    <t xml:space="preserve">$3,200 of $8,000 raised</t>
  </si>
  <si>
    <t xml:space="preserve">1. Ask renters which problems hit most and rank the top 10.
2. Draft one letter per problem, citing the exact Georgia section.
3. Lawyers review early and then sign off formally. Spanish versions are back-checked.
4. A phone tool asks 3 questions and fills the letter. The tenant sends it by certified mail.
5. Anything with a court date goes straight to a legal aid referral.</t>
  </si>
  <si>
    <t xml:space="preserve">Jamal knows renters and their real problems. 4 letters already drafted.</t>
  </si>
  <si>
    <t xml:space="preserve">No lawyer on the squad yet. Only $3,200 of $8,000 raised.</t>
  </si>
  <si>
    <t xml:space="preserve">1 Patron, 1 Checker (Georgia-licensed lawyer), 1 Expert (Spanish)</t>
  </si>
  <si>
    <t xml:space="preserve">Only squad. Will refer court cases to the legal aid clinic partner.</t>
  </si>
  <si>
    <t xml:space="preserve">fnt-crew</t>
  </si>
  <si>
    <t xml:space="preserve">Grid squares + one report format</t>
  </si>
  <si>
    <t xml:space="preserve">Split Berlin into small squares anyone can finish in an hour, and send every office the same clean report.</t>
  </si>
  <si>
    <t xml:space="preserve">1. Split Berlin into 120 squares of about 2 × 2 km on a shared map.
2. Each player claims a square and surveys it with StreetComplete.
3. A dashboard shows empty squares. Outer squares pay more.
4. A script turns broken points into one German report per office.
5. Re-visit after each fix and update OSM.</t>
  </si>
  <si>
    <t xml:space="preserve">Small, fast jobs. Clear data. Good relations with district offices.</t>
  </si>
  <si>
    <t xml:space="preserve">Outer districts were slow. Fixes depended on district budgets.</t>
  </si>
  <si>
    <t xml:space="preserve">None (finished)</t>
  </si>
  <si>
    <t xml:space="preserve">Only squad. Its open data is now used by other city water-map projects.</t>
  </si>
  <si>
    <t xml:space="preserve">ramp-crew</t>
  </si>
  <si>
    <t xml:space="preserve">One sheet, many hands</t>
  </si>
  <si>
    <t xml:space="preserve">Split the design into 12 small jobs, test hard, then let people build it everywhere.</t>
  </si>
  <si>
    <t xml:space="preserve">1. Set clear rules: 1:12, 800 mm wide, one sheet
2. 12 people each draw a design; Checkers filter
3. Build and load-test 10 copies
4. Write a picture-first guide and translate it
5. Run build days and check photos</t>
  </si>
  <si>
    <t xml:space="preserve">Small jobs let 85 players help; strict testing.</t>
  </si>
  <si>
    <t xml:space="preserve">Only fits one step; plywood costs vary.</t>
  </si>
  <si>
    <t xml:space="preserve">Only squad. Its design was later forked by local groups for longer ramps.</t>
  </si>
  <si>
    <t xml:space="preserve">pump-crew</t>
  </si>
  <si>
    <t xml:space="preserve">Pump Watch</t>
  </si>
  <si>
    <t xml:space="preserve">One volunteer per gram panchayat</t>
  </si>
  <si>
    <t xml:space="preserve">Local women who already walk to the pumps can report them better than any outside survey team.</t>
  </si>
  <si>
    <t xml:space="preserve">1. Train one volunteer per panchayat to run the 20-stroke test and log symptoms
2. Survey every pump offline and sync in town
3. Hand the broken list to PHED block offices and file on Sampark
4. Follow up weekly; ask panchayats to fund repairs stuck for parts; re-check after 30 days</t>
  </si>
  <si>
    <t xml:space="preserve">Local trust and knowledge, low cost, and data PHED could actually use.</t>
  </si>
  <si>
    <t xml:space="preserve">Heat and distance slowed the survey; the squad depended on PHED stock for parts.</t>
  </si>
  <si>
    <t xml:space="preserve">Filled: 24 volunteers, 4 Checkers, 1 Planner</t>
  </si>
  <si>
    <t xml:space="preserve">The only squad. It shared its field method with the benefits mission's Village Volunteers.</t>
  </si>
  <si>
    <t xml:space="preserve">air-crew</t>
  </si>
  <si>
    <t xml:space="preserve">Fresh Air Crew</t>
  </si>
  <si>
    <t xml:space="preserve">Cheapest sensor that's still honest</t>
  </si>
  <si>
    <t xml:space="preserve">A simple, open sensor with a traffic-light display can hit $20 at 50 units.</t>
  </si>
  <si>
    <t xml:space="preserve">1. Test accuracy first against a reference meter
2. Cost a 50-unit batch from real quotes
3. Pilot in 10 classrooms
4. Stop and refund if the price can't be met</t>
  </si>
  <si>
    <t xml:space="preserve">Clear numbers and an honest stop rule. Good accuracy testing.</t>
  </si>
  <si>
    <t xml:space="preserve">Didn't get real batch quotes before starting.</t>
  </si>
  <si>
    <t xml:space="preserve">Solo squad</t>
  </si>
  <si>
    <t xml:space="preserve">aid-cpr</t>
  </si>
  <si>
    <t xml:space="preserve">Pulse Club</t>
  </si>
  <si>
    <t xml:space="preserve">Grace Mensah</t>
  </si>
  <si>
    <t xml:space="preserve">CPR in every school</t>
  </si>
  <si>
    <t xml:space="preserve">Teach every 12-year-old CPR. Kids teach their families.</t>
  </si>
  <si>
    <t xml:space="preserve">1 Leader, 2 Experts</t>
  </si>
  <si>
    <t xml:space="preserve">Teachers · new</t>
  </si>
  <si>
    <t xml:space="preserve">Needs one school to say yes</t>
  </si>
  <si>
    <t xml:space="preserve">1. Write a 45-minute CPR lesson a teacher can run
2. Pilot it in one school
3. Each pupil teaches 2 family members
4. Count who can still do it 3 months later</t>
  </si>
  <si>
    <t xml:space="preserve">Reaches whole families through kids.</t>
  </si>
  <si>
    <t xml:space="preserve">Slow to scale; needs schools to agree.</t>
  </si>
  <si>
    <t xml:space="preserve">1 Expert (resuscitation trainer)</t>
  </si>
  <si>
    <t xml:space="preserve">Competes with First Aiders; can use their guides</t>
  </si>
  <si>
    <t xml:space="preserve">aid-line</t>
  </si>
  <si>
    <t xml:space="preserve">Line Lift</t>
  </si>
  <si>
    <t xml:space="preserve">Tunde Bakare</t>
  </si>
  <si>
    <t xml:space="preserve">A helper on the phone</t>
  </si>
  <si>
    <t xml:space="preserve">A free number where a trained volunteer talks you through it until help comes.</t>
  </si>
  <si>
    <t xml:space="preserve">2 Experts, 1 Checker</t>
  </si>
  <si>
    <t xml:space="preserve">Night owls</t>
  </si>
  <si>
    <t xml:space="preserve">Needs trained volunteers for nights</t>
  </si>
  <si>
    <t xml:space="preserve">1. Pick one city and one language
2. Train 20 volunteers with the guides
3. Run the line for 4 weeks
4. Check every call log</t>
  </si>
  <si>
    <t xml:space="preserve">Works for people who can't read.</t>
  </si>
  <si>
    <t xml:space="preserve">Needs people awake around the clock.</t>
  </si>
  <si>
    <t xml:space="preserve">2 Experts (nurses), 1 Checker</t>
  </si>
  <si>
    <t xml:space="preserve">Uses First Aiders' guides as its script</t>
  </si>
  <si>
    <t xml:space="preserve">lead-filter</t>
  </si>
  <si>
    <t xml:space="preserve">Filter First</t>
  </si>
  <si>
    <t xml:space="preserve">Rosa Delgado</t>
  </si>
  <si>
    <t xml:space="preserve">Filters while pipes wait</t>
  </si>
  <si>
    <t xml:space="preserve">Get a certified filter into every home with kids now, while the pipes wait their turn.</t>
  </si>
  <si>
    <t xml:space="preserve">1 Planner, 1 Storyteller</t>
  </si>
  <si>
    <t xml:space="preserve">Fast · practical</t>
  </si>
  <si>
    <t xml:space="preserve">Needs filter money</t>
  </si>
  <si>
    <t xml:space="preserve">1. Find homes with kids on suspected lead lines
2. Hand out certified filters with a 1-page guide
3. Check filters are used after 30 days</t>
  </si>
  <si>
    <t xml:space="preserve">Protects kids this month, not in 5 years.</t>
  </si>
  <si>
    <t xml:space="preserve">Filters need changing; doesn't remove the pipe.</t>
  </si>
  <si>
    <t xml:space="preserve">Works next to Pipe Finders and uses their map</t>
  </si>
  <si>
    <t xml:space="preserve">tutor-front</t>
  </si>
  <si>
    <t xml:space="preserve">Front Row</t>
  </si>
  <si>
    <t xml:space="preserve">Wanjiru Kamau</t>
  </si>
  <si>
    <t xml:space="preserve">Help the teacher, not the phone</t>
  </si>
  <si>
    <t xml:space="preserve">Give teachers a 10-minute daily routine that finds who is behind and helps them catch up.</t>
  </si>
  <si>
    <t xml:space="preserve">1 Expert, 1 Maker</t>
  </si>
  <si>
    <t xml:space="preserve">Teachers</t>
  </si>
  <si>
    <t xml:space="preserve">Needs a class to try it</t>
  </si>
  <si>
    <t xml:space="preserve">1. Write a 10-minute daily check
2. Group kids by what they can do, not their age
3. Try it for 4 weeks in one class
4. Compare with Chalk Squad's test</t>
  </si>
  <si>
    <t xml:space="preserve">No phones needed; teachers already there.</t>
  </si>
  <si>
    <t xml:space="preserve">Busy teachers may drop it.</t>
  </si>
  <si>
    <t xml:space="preserve">1 Expert (primary teacher)</t>
  </si>
  <si>
    <t xml:space="preserve">Competes with Chalk Squad; same end test</t>
  </si>
  <si>
    <t xml:space="preserve">cand-talk</t>
  </si>
  <si>
    <t xml:space="preserve">Chai Charcha</t>
  </si>
  <si>
    <t xml:space="preserve">Sneha Kulkarni</t>
  </si>
  <si>
    <t xml:space="preserve">Read it out where people meet</t>
  </si>
  <si>
    <t xml:space="preserve">Read the one-pagers aloud at chai stalls and housing societies. People trust a face more than a link.</t>
  </si>
  <si>
    <t xml:space="preserve">2 Storytellers</t>
  </si>
  <si>
    <t xml:space="preserve">Local · talkative</t>
  </si>
  <si>
    <t xml:space="preserve">Needs Vote Clear's checked profiles</t>
  </si>
  <si>
    <t xml:space="preserve">1. Take checked one-pagers only
2. Read every candidate in a seat, same order, no comments
3. Log how many people listened</t>
  </si>
  <si>
    <t xml:space="preserve">Reaches people who don't read PDFs.</t>
  </si>
  <si>
    <t xml:space="preserve">Slow; must stay strictly neutral.</t>
  </si>
  <si>
    <t xml:space="preserve">2 Storytellers (Marathi)</t>
  </si>
  <si>
    <t xml:space="preserve">Builds on Vote Clear's profiles</t>
  </si>
  <si>
    <t xml:space="preserve">pot-crash</t>
  </si>
  <si>
    <t xml:space="preserve">Crash Map</t>
  </si>
  <si>
    <t xml:space="preserve">Imran Pasha</t>
  </si>
  <si>
    <t xml:space="preserve">Worst first</t>
  </si>
  <si>
    <t xml:space="preserve">Start where riders actually crash, not where potholes are. Fix those first.</t>
  </si>
  <si>
    <t xml:space="preserve">Data people</t>
  </si>
  <si>
    <t xml:space="preserve">Needs crash records by road</t>
  </si>
  <si>
    <t xml:space="preserve">1. Gather public crash reports by road
2. Match them to pinned potholes
3. Push the top 100 to the front of the queue</t>
  </si>
  <si>
    <t xml:space="preserve">Fixes what hurts people first.</t>
  </si>
  <si>
    <t xml:space="preserve">Crash data is patchy.</t>
  </si>
  <si>
    <t xml:space="preserve">1 Expert (road safety)</t>
  </si>
  <si>
    <t xml:space="preserve">Feeds Pothole Patrol's filing order</t>
  </si>
  <si>
    <t xml:space="preserve">rti-parents</t>
  </si>
  <si>
    <t xml:space="preserve">Parent Panel</t>
  </si>
  <si>
    <t xml:space="preserve">Anita Kumari</t>
  </si>
  <si>
    <t xml:space="preserve">Parents ask at the school</t>
  </si>
  <si>
    <t xml:space="preserve">Help parents on School Management Committees read the school's own accounts at their meetings.</t>
  </si>
  <si>
    <t xml:space="preserve">1 Expert, 1 Storyteller</t>
  </si>
  <si>
    <t xml:space="preserve">Parents</t>
  </si>
  <si>
    <t xml:space="preserve">Needs committee members willing to try</t>
  </si>
  <si>
    <t xml:space="preserve">1. Make a one-page guide to the school grant
2. Train 10 committee parents
3. They ask at the next meeting and note the answers</t>
  </si>
  <si>
    <t xml:space="preserve">Parents are there every week; RTIs take months.</t>
  </si>
  <si>
    <t xml:space="preserve">Parents may not feel safe asking.</t>
  </si>
  <si>
    <t xml:space="preserve">1 Expert (school grants)</t>
  </si>
  <si>
    <t xml:space="preserve">Uses School Watch's replies</t>
  </si>
  <si>
    <t xml:space="preserve">flood-street</t>
  </si>
  <si>
    <t xml:space="preserve">Street Watch</t>
  </si>
  <si>
    <t xml:space="preserve">Bisi Adewale</t>
  </si>
  <si>
    <t xml:space="preserve">Street captains</t>
  </si>
  <si>
    <t xml:space="preserve">One trained captain per street who warns neighbours by phone and loudspeaker.</t>
  </si>
  <si>
    <t xml:space="preserve">1 Leader, 1 Storyteller</t>
  </si>
  <si>
    <t xml:space="preserve">Neighbours</t>
  </si>
  <si>
    <t xml:space="preserve">Needs captains on 20 streets</t>
  </si>
  <si>
    <t xml:space="preserve">1. Find one captain per flood-prone street
2. Teach the 3 warning signs
3. Practise one warning drill a month</t>
  </si>
  <si>
    <t xml:space="preserve">Works when phones are off or out of credit.</t>
  </si>
  <si>
    <t xml:space="preserve">Depends on one person per street.</t>
  </si>
  <si>
    <t xml:space="preserve">1 Leader (community)</t>
  </si>
  <si>
    <t xml:space="preserve">Can carry Flood Watch's alerts the last 100 metres</t>
  </si>
  <si>
    <t xml:space="preserve">renter-block</t>
  </si>
  <si>
    <t xml:space="preserve">Block by Block</t>
  </si>
  <si>
    <t xml:space="preserve">Keisha Brown</t>
  </si>
  <si>
    <t xml:space="preserve">Renters act together</t>
  </si>
  <si>
    <t xml:space="preserve">All the renters in one building ask together. Landlords answer a group faster.</t>
  </si>
  <si>
    <t xml:space="preserve">1 Leader, 1 Expert</t>
  </si>
  <si>
    <t xml:space="preserve">Organisers</t>
  </si>
  <si>
    <t xml:space="preserve">Needs one building to start</t>
  </si>
  <si>
    <t xml:space="preserve">1. Pick one building with many repair problems
2. Hold one meeting
3. Send one group letter
4. Follow up together</t>
  </si>
  <si>
    <t xml:space="preserve">Harder to ignore than one renter.</t>
  </si>
  <si>
    <t xml:space="preserve">People fear being pushed out.</t>
  </si>
  <si>
    <t xml:space="preserve">1 Expert (tenant law)</t>
  </si>
  <si>
    <t xml:space="preserve">Uses Rent Right's letters</t>
  </si>
  <si>
    <t xml:space="preserve">Quest ID</t>
  </si>
  <si>
    <t xml:space="preserve">Quest</t>
  </si>
  <si>
    <t xml:space="preserve">Role</t>
  </si>
  <si>
    <t xml:space="preserve">Size</t>
  </si>
  <si>
    <t xml:space="preserve">Reward</t>
  </si>
  <si>
    <t xml:space="preserve">Safety note</t>
  </si>
  <si>
    <t xml:space="preserve">Stage #</t>
  </si>
  <si>
    <t xml:space="preserve">Good for you if…</t>
  </si>
  <si>
    <t xml:space="preserve">Brief</t>
  </si>
  <si>
    <t xml:space="preserve">Steps</t>
  </si>
  <si>
    <t xml:space="preserve">You hand in</t>
  </si>
  <si>
    <t xml:space="preserve">How it's checked</t>
  </si>
  <si>
    <t xml:space="preserve">Your agent does</t>
  </si>
  <si>
    <t xml:space="preserve">You do</t>
  </si>
  <si>
    <t xml:space="preserve">Tools &amp; data</t>
  </si>
  <si>
    <t xml:space="preserve">Skills</t>
  </si>
  <si>
    <t xml:space="preserve">Decision mid-quest</t>
  </si>
  <si>
    <t xml:space="preserve">Options</t>
  </si>
  <si>
    <t xml:space="preserve">g12</t>
  </si>
  <si>
    <t xml:space="preserve">Catalogue 10 open brain tumour datasets</t>
  </si>
  <si>
    <t xml:space="preserve">M</t>
  </si>
  <si>
    <t xml:space="preserve">Online</t>
  </si>
  <si>
    <t xml:space="preserve">Good for you if you work with biomedical data</t>
  </si>
  <si>
    <t xml:space="preserve">We needed a list of what data exists and who may use it.</t>
  </si>
  <si>
    <t xml:space="preserve">1. Search public portals
2. Record link, size and licence
3. Note access rules
4. Add to the catalogue</t>
  </si>
  <si>
    <t xml:space="preserve">10 catalogue rows</t>
  </si>
  <si>
    <t xml:space="preserve">Every field filled</t>
  </si>
  <si>
    <t xml:space="preserve">2 Checkers verify links and licences</t>
  </si>
  <si>
    <t xml:space="preserve">Searches portals and fills fields</t>
  </si>
  <si>
    <t xml:space="preserve">Judges relevance and licence</t>
  </si>
  <si>
    <t xml:space="preserve">GDC portal, CGGA, DepMap</t>
  </si>
  <si>
    <t xml:space="preserve">Research data literacy</t>
  </si>
  <si>
    <t xml:space="preserve">g13</t>
  </si>
  <si>
    <t xml:space="preserve">Re-check citations for the top 20 targets</t>
  </si>
  <si>
    <t xml:space="preserve">Good for you if you can read scientific papers</t>
  </si>
  <si>
    <t xml:space="preserve">The ranking is only as good as its sources.</t>
  </si>
  <si>
    <t xml:space="preserve">1. Open each cited source
2. Confirm it says what we claim
3. Mark weak or missing evidence</t>
  </si>
  <si>
    <t xml:space="preserve">Citation check sheet</t>
  </si>
  <si>
    <t xml:space="preserve">All 20 marked</t>
  </si>
  <si>
    <t xml:space="preserve">Second Checker samples 5</t>
  </si>
  <si>
    <t xml:space="preserve">Fetches sources</t>
  </si>
  <si>
    <t xml:space="preserve">Judges evidence</t>
  </si>
  <si>
    <t xml:space="preserve">Open Targets, PubMed</t>
  </si>
  <si>
    <t xml:space="preserve">Reading papers</t>
  </si>
  <si>
    <t xml:space="preserve">g7</t>
  </si>
  <si>
    <t xml:space="preserve">Pull the list of approved drugs</t>
  </si>
  <si>
    <t xml:space="preserve">S</t>
  </si>
  <si>
    <t xml:space="preserve">Good for you if you like clean data</t>
  </si>
  <si>
    <t xml:space="preserve">Wet Hands starts from drugs already approved for people.</t>
  </si>
  <si>
    <t xml:space="preserve">1. Download public approved-drug lists
2. Remove duplicates
3. Record source and date</t>
  </si>
  <si>
    <t xml:space="preserve">Clean list (about 2,800)</t>
  </si>
  <si>
    <t xml:space="preserve">Duplicates removed; source logged</t>
  </si>
  <si>
    <t xml:space="preserve">Merges lists</t>
  </si>
  <si>
    <t xml:space="preserve">Checks edge cases</t>
  </si>
  <si>
    <t xml:space="preserve">Public approved-drug lists</t>
  </si>
  <si>
    <t xml:space="preserve">Data cleaning</t>
  </si>
  <si>
    <t xml:space="preserve">g5</t>
  </si>
  <si>
    <t xml:space="preserve">Write this week's progress post</t>
  </si>
  <si>
    <t xml:space="preserve">Good for you if you write clearly</t>
  </si>
  <si>
    <t xml:space="preserve">Patients and backers follow along.</t>
  </si>
  <si>
    <t xml:space="preserve">1. Collect squad updates
2. Write 200 plain words
3. Post</t>
  </si>
  <si>
    <t xml:space="preserve">Post link</t>
  </si>
  <si>
    <t xml:space="preserve">Published</t>
  </si>
  <si>
    <t xml:space="preserve">1 Checker for accuracy</t>
  </si>
  <si>
    <t xml:space="preserve">Drafts from updates</t>
  </si>
  <si>
    <t xml:space="preserve">Makes it honest and clear</t>
  </si>
  <si>
    <t xml:space="preserve">Blog</t>
  </si>
  <si>
    <t xml:space="preserve">Writing</t>
  </si>
  <si>
    <t xml:space="preserve">g6c</t>
  </si>
  <si>
    <t xml:space="preserve">Launch and monitor compute batch 3 of 4</t>
  </si>
  <si>
    <t xml:space="preserve">Open</t>
  </si>
  <si>
    <t xml:space="preserve">Good for you if you can run Python jobs in the cloud</t>
  </si>
  <si>
    <t xml:space="preserve">Batch 3 of the million-item screen. Mostly launching and watching jobs.</t>
  </si>
  <si>
    <t xml:space="preserve">1. Launch jobs with the squad's scripts
2. Watch for failures
3. Restart failed jobs
4. Upload results</t>
  </si>
  <si>
    <t xml:space="preserve">Results file + job log</t>
  </si>
  <si>
    <t xml:space="preserve">All 250,000 processed or logged as failed</t>
  </si>
  <si>
    <t xml:space="preserve">g3 Checker re-runs 20</t>
  </si>
  <si>
    <t xml:space="preserve">Launches and monitors jobs</t>
  </si>
  <si>
    <t xml:space="preserve">Handles failures and costs</t>
  </si>
  <si>
    <t xml:space="preserve">Cloud credits, squad scripts</t>
  </si>
  <si>
    <t xml:space="preserve">Python, cloud computing</t>
  </si>
  <si>
    <t xml:space="preserve">Spot prices doubled mid-batch. What do you do?</t>
  </si>
  <si>
    <t xml:space="preserve">Pause and wait | Finish on regular machines | Ask the Leader</t>
  </si>
  <si>
    <t xml:space="preserve">g3</t>
  </si>
  <si>
    <t xml:space="preserve">Check 20 docking results from Fold Gang</t>
  </si>
  <si>
    <t xml:space="preserve">Good for you if you've run docking software before</t>
  </si>
  <si>
    <t xml:space="preserve">Every result is re-run before it counts.</t>
  </si>
  <si>
    <t xml:space="preserve">1. Draw 20 at random
2. Re-run with the same settings
3. Compare scores
4. Log mismatches</t>
  </si>
  <si>
    <t xml:space="preserve">Re-run log</t>
  </si>
  <si>
    <t xml:space="preserve">18 of 20 match within tolerance, or the batch is flagged</t>
  </si>
  <si>
    <t xml:space="preserve">Second Checker reviews the log</t>
  </si>
  <si>
    <t xml:space="preserve">Re-runs jobs</t>
  </si>
  <si>
    <t xml:space="preserve">Judges mismatches</t>
  </si>
  <si>
    <t xml:space="preserve">Squad scripts</t>
  </si>
  <si>
    <t xml:space="preserve">Computational chemistry basics</t>
  </si>
  <si>
    <t xml:space="preserve">5 of 20 don't match. What now?</t>
  </si>
  <si>
    <t xml:space="preserve">Flag the whole batch | Re-run 20 more</t>
  </si>
  <si>
    <t xml:space="preserve">g8</t>
  </si>
  <si>
    <t xml:space="preserve">Check which of 40 drugs can reach the brain</t>
  </si>
  <si>
    <t xml:space="preserve">Good for you if you studied pharmacology</t>
  </si>
  <si>
    <t xml:space="preserve">A drug that can't reach the brain won't help. This is a review of published evidence.</t>
  </si>
  <si>
    <t xml:space="preserve">1. Find published evidence for each drug
2. Mark yes, no or unknown
3. Cite sources</t>
  </si>
  <si>
    <t xml:space="preserve">40-row evidence table</t>
  </si>
  <si>
    <t xml:space="preserve">Every row has a source or 'unknown'</t>
  </si>
  <si>
    <t xml:space="preserve">Dr. Wei Lin + 1 Checker</t>
  </si>
  <si>
    <t xml:space="preserve">Searches literature</t>
  </si>
  <si>
    <t xml:space="preserve">PubMed, drug labels</t>
  </si>
  <si>
    <t xml:space="preserve">Pharmacology</t>
  </si>
  <si>
    <t xml:space="preserve">Evidence for one drug conflicts. Mark it?</t>
  </si>
  <si>
    <t xml:space="preserve">Unknown | Yes, with a note</t>
  </si>
  <si>
    <t xml:space="preserve">g9</t>
  </si>
  <si>
    <t xml:space="preserve">Train a model on known tumour drugs</t>
  </si>
  <si>
    <t xml:space="preserve">Good for you if you train ML models</t>
  </si>
  <si>
    <t xml:space="preserve">Swarm 404's generator needs a model trained on public data.</t>
  </si>
  <si>
    <t xml:space="preserve">1. Pull the public training set
2. Split train and test
3. Train
4. Report metrics</t>
  </si>
  <si>
    <t xml:space="preserve">Model + metrics report + code</t>
  </si>
  <si>
    <t xml:space="preserve">Metrics reproducible by a Checker</t>
  </si>
  <si>
    <t xml:space="preserve">1 Checker re-trains</t>
  </si>
  <si>
    <t xml:space="preserve">Writes training code</t>
  </si>
  <si>
    <t xml:space="preserve">Judges data quality</t>
  </si>
  <si>
    <t xml:space="preserve">ChEMBL, Python</t>
  </si>
  <si>
    <t xml:space="preserve">Machine learning</t>
  </si>
  <si>
    <t xml:space="preserve">g10</t>
  </si>
  <si>
    <t xml:space="preserve">Review the safety-screen report for 5,000 designs</t>
  </si>
  <si>
    <t xml:space="preserve">Good for you if you're a trained chemist</t>
  </si>
  <si>
    <t xml:space="preserve">Nobody has reviewed Swarm 404's designs. An automated screen ran; a human must review its report.</t>
  </si>
  <si>
    <t xml:space="preserve">1. Read the report summary
2. Sample 50 flagged and 50 passed
3. Agree or disagree
4. Escalate doubts to an Expert</t>
  </si>
  <si>
    <t xml:space="preserve">Review note</t>
  </si>
  <si>
    <t xml:space="preserve">100 sampled and judged</t>
  </si>
  <si>
    <t xml:space="preserve">Yuki Mori</t>
  </si>
  <si>
    <t xml:space="preserve">Draws the sample</t>
  </si>
  <si>
    <t xml:space="preserve">Judges</t>
  </si>
  <si>
    <t xml:space="preserve">Screen report</t>
  </si>
  <si>
    <t xml:space="preserve">Medicinal chemistry</t>
  </si>
  <si>
    <t xml:space="preserve">g17</t>
  </si>
  <si>
    <t xml:space="preserve">Set the rule for choosing the final 10</t>
  </si>
  <si>
    <t xml:space="preserve">Good for you if people trust your fairness</t>
  </si>
  <si>
    <t xml:space="preserve">Three squads compete for 10 slots; the rule must be fair.</t>
  </si>
  <si>
    <t xml:space="preserve">1. Draft criteria
2. Get each squad's input
3. Get 2 Checkers to agree
4. Publish</t>
  </si>
  <si>
    <t xml:space="preserve">Published rule</t>
  </si>
  <si>
    <t xml:space="preserve">All squads acknowledge</t>
  </si>
  <si>
    <t xml:space="preserve">2 Checkers</t>
  </si>
  <si>
    <t xml:space="preserve">Drafts options</t>
  </si>
  <si>
    <t xml:space="preserve">Decides</t>
  </si>
  <si>
    <t xml:space="preserve">Squad results</t>
  </si>
  <si>
    <t xml:space="preserve">Leadership</t>
  </si>
  <si>
    <t xml:space="preserve">g3, g8, g10</t>
  </si>
  <si>
    <t xml:space="preserve">Should each squad get a guaranteed slot?</t>
  </si>
  <si>
    <t xml:space="preserve">Yes, 2 each | No, best evidence wins</t>
  </si>
  <si>
    <t xml:space="preserve">g18</t>
  </si>
  <si>
    <t xml:space="preserve">Get 3 quotes from partner labs</t>
  </si>
  <si>
    <t xml:space="preserve">Good for you if you've managed vendor quotes</t>
  </si>
  <si>
    <t xml:space="preserve">Wet Hands is blocked on a lab slot. Quotes now save months.</t>
  </si>
  <si>
    <t xml:space="preserve">1. Write a short request
2. Contact 3 accredited labs
3. Compare price, time and data terms
4. Recommend one</t>
  </si>
  <si>
    <t xml:space="preserve">Quote comparison</t>
  </si>
  <si>
    <t xml:space="preserve">3 quotes in hand</t>
  </si>
  <si>
    <t xml:space="preserve">Drafts emails and the comparison</t>
  </si>
  <si>
    <t xml:space="preserve">Negotiates</t>
  </si>
  <si>
    <t xml:space="preserve">Email</t>
  </si>
  <si>
    <t xml:space="preserve">Procurement</t>
  </si>
  <si>
    <t xml:space="preserve">The cheapest lab won't publish raw data. Accept?</t>
  </si>
  <si>
    <t xml:space="preserve">No, open data is a rule | Negotiate</t>
  </si>
  <si>
    <t xml:space="preserve">g20</t>
  </si>
  <si>
    <t xml:space="preserve">Recruit a chemistry Checker for Swarm 404</t>
  </si>
  <si>
    <t xml:space="preserve">Good for you if you know science communities</t>
  </si>
  <si>
    <t xml:space="preserve">Swarm 404's blocker is missing reviewers.</t>
  </si>
  <si>
    <t xml:space="preserve">1. Write a short call
2. Post in public communities
3. Screen replies</t>
  </si>
  <si>
    <t xml:space="preserve">1 signed-up Checker</t>
  </si>
  <si>
    <t xml:space="preserve">Checker joins and passes a test quest</t>
  </si>
  <si>
    <t xml:space="preserve">Drafts the call</t>
  </si>
  <si>
    <t xml:space="preserve">Posts and screens</t>
  </si>
  <si>
    <t xml:space="preserve">Sign-up link</t>
  </si>
  <si>
    <t xml:space="preserve">none</t>
  </si>
  <si>
    <t xml:space="preserve">g19</t>
  </si>
  <si>
    <t xml:space="preserve">Read the progress post and ask 3 questions</t>
  </si>
  <si>
    <t xml:space="preserve">Good for you if you're new to science</t>
  </si>
  <si>
    <t xml:space="preserve">Patients and families should understand what we do.</t>
  </si>
  <si>
    <t xml:space="preserve">1. Read the latest post
2. Ask 3 questions
3. Mark anything confusing</t>
  </si>
  <si>
    <t xml:space="preserve">3 questions</t>
  </si>
  <si>
    <t xml:space="preserve">Posted</t>
  </si>
  <si>
    <t xml:space="preserve">Storyteller answers</t>
  </si>
  <si>
    <t xml:space="preserve">Explains terms</t>
  </si>
  <si>
    <t xml:space="preserve">Reads and asks</t>
  </si>
  <si>
    <t xml:space="preserve">Phone</t>
  </si>
  <si>
    <t xml:space="preserve">glio-whole-back</t>
  </si>
  <si>
    <t xml:space="preserve">Back Whole Health</t>
  </si>
  <si>
    <t xml:space="preserve">Good for you if you want patient-led research</t>
  </si>
  <si>
    <t xml:space="preserve">Whole Health needs 9 more backers to launch.</t>
  </si>
  <si>
    <t xml:space="preserve">1. Read the plan
2. Back it</t>
  </si>
  <si>
    <t xml:space="preserve">Backing receipt</t>
  </si>
  <si>
    <t xml:space="preserve">Recorded</t>
  </si>
  <si>
    <t xml:space="preserve">Automatic</t>
  </si>
  <si>
    <t xml:space="preserve">Summarises the plan</t>
  </si>
  <si>
    <t xml:space="preserve">Wallet</t>
  </si>
  <si>
    <t xml:space="preserve">g11</t>
  </si>
  <si>
    <t xml:space="preserve">Book the partner lab run and sign its budget</t>
  </si>
  <si>
    <t xml:space="preserve">Good for you if you're good with contracts</t>
  </si>
  <si>
    <t xml:space="preserve">Turns the chosen quote into a booked slot, a budget and shipping paperwork.</t>
  </si>
  <si>
    <t xml:space="preserve">1. Confirm the slot
2. Get the budget approved
3. Arrange shipping and transfer paperwork
4. Share the timeline</t>
  </si>
  <si>
    <t xml:space="preserve">Signed booking + budget + paperwork</t>
  </si>
  <si>
    <t xml:space="preserve">Lab confirms in writing</t>
  </si>
  <si>
    <t xml:space="preserve">Leader + 1 Checker</t>
  </si>
  <si>
    <t xml:space="preserve">Drafts paperwork</t>
  </si>
  <si>
    <t xml:space="preserve">Signs and confirms</t>
  </si>
  <si>
    <t xml:space="preserve">Contract templates</t>
  </si>
  <si>
    <t xml:space="preserve">Project admin</t>
  </si>
  <si>
    <t xml:space="preserve">g18, g17</t>
  </si>
  <si>
    <t xml:space="preserve">The slot is 3 months later than planned. Accept?</t>
  </si>
  <si>
    <t xml:space="preserve">Accept | Try the second lab</t>
  </si>
  <si>
    <t xml:space="preserve">g15</t>
  </si>
  <si>
    <t xml:space="preserve">Hire a regulatory consultant and plan the filing</t>
  </si>
  <si>
    <t xml:space="preserve">Good for you if you've worked with regulators</t>
  </si>
  <si>
    <t xml:space="preserve">A sponsor needs a clear package.</t>
  </si>
  <si>
    <t xml:space="preserve">1. Shortlist consultants
2. Agree scope and fee
3. Plan the package</t>
  </si>
  <si>
    <t xml:space="preserve">Signed scope + plan</t>
  </si>
  <si>
    <t xml:space="preserve">Sponsor agrees to the plan</t>
  </si>
  <si>
    <t xml:space="preserve">Mission creator</t>
  </si>
  <si>
    <t xml:space="preserve">Compares options</t>
  </si>
  <si>
    <t xml:space="preserve">FDA meeting guidance</t>
  </si>
  <si>
    <t xml:space="preserve">a6</t>
  </si>
  <si>
    <t xml:space="preserve">Agree which guidelines our guides follow</t>
  </si>
  <si>
    <t xml:space="preserve">Good for you if you know first-aid guidelines</t>
  </si>
  <si>
    <t xml:space="preserve">If every nurse writes from a different source, guides will contradict each other. We picked one main source and a rule for conflicts.</t>
  </si>
  <si>
    <t xml:space="preserve">1. List candidate guideline sources
2. Check each licence
3. Pick one main source and one backup
4. Write a one-page conflict rule</t>
  </si>
  <si>
    <t xml:space="preserve">One-page 'Sources and rules' doc</t>
  </si>
  <si>
    <t xml:space="preserve">Signed off by 2 nurses</t>
  </si>
  <si>
    <t xml:space="preserve">2 nurse Checkers</t>
  </si>
  <si>
    <t xml:space="preserve">Summarises each guideline and its licence</t>
  </si>
  <si>
    <t xml:space="preserve">Decides which source we trust</t>
  </si>
  <si>
    <t xml:space="preserve">IFRC 2020 guidelines, CC licence texts</t>
  </si>
  <si>
    <t xml:space="preserve">First-aid training</t>
  </si>
  <si>
    <t xml:space="preserve">a1</t>
  </si>
  <si>
    <t xml:space="preserve">Suggest 3 guides and say why they matter</t>
  </si>
  <si>
    <t xml:space="preserve">Good for you if you have nursing or first-aid experience</t>
  </si>
  <si>
    <t xml:space="preserve">We have 14 of 20 guides. We need the last 6, chosen by how often the emergency happens and how much a bystander can help.</t>
  </si>
  <si>
    <t xml:space="preserve">1. Read the current list of 14
2. Propose 3 new topics
3. For each, say how common it is where you live
4. Say what a bystander can do in the first 5 minutes</t>
  </si>
  <si>
    <t xml:space="preserve">3 short entries in the topic form</t>
  </si>
  <si>
    <t xml:space="preserve">Each entry names the emergency, who it hits and the bystander action</t>
  </si>
  <si>
    <t xml:space="preserve">1 nurse Checker</t>
  </si>
  <si>
    <t xml:space="preserve">Finds public numbers on how common each emergency is</t>
  </si>
  <si>
    <t xml:space="preserve">Picks topics from real experience</t>
  </si>
  <si>
    <t xml:space="preserve">Topic form, WHO fact sheets</t>
  </si>
  <si>
    <t xml:space="preserve">Some first-aid or health experience</t>
  </si>
  <si>
    <t xml:space="preserve">Snake bites are common where you live but rare elsewhere. Suggest it?</t>
  </si>
  <si>
    <t xml:space="preserve">Yes, as a regional guide | No, keep to universal topics</t>
  </si>
  <si>
    <t xml:space="preserve">a2</t>
  </si>
  <si>
    <t xml:space="preserve">Pilot: translate the burns guide into Tagalog</t>
  </si>
  <si>
    <t xml:space="preserve">Good for you if you speak Tagalog</t>
  </si>
  <si>
    <t xml:space="preserve">Before doing 1,000 translations we test the loop on one guide. Tagalog first because our lead nurse can review it.</t>
  </si>
  <si>
    <t xml:space="preserve">1. Open the agent draft in Weblate
2. Fix wording so a parent understands it
3. Use glossary terms
4. Time yourself and note hard words</t>
  </si>
  <si>
    <t xml:space="preserve">Fixed Tagalog burns guide + a list of hard words + time taken</t>
  </si>
  <si>
    <t xml:space="preserve">Reads naturally to a second Tagalog speaker; no medical step changed</t>
  </si>
  <si>
    <t xml:space="preserve">1 Checker who speaks Tagalog + lead nurse</t>
  </si>
  <si>
    <t xml:space="preserve">Drafts the translation and flags low-confidence lines</t>
  </si>
  <si>
    <t xml:space="preserve">Fixes meaning and tone</t>
  </si>
  <si>
    <t xml:space="preserve">Weblate, glossary</t>
  </si>
  <si>
    <t xml:space="preserve">Native Tagalog</t>
  </si>
  <si>
    <t xml:space="preserve">The common local word for a burn remedy implies applying something. Use it?</t>
  </si>
  <si>
    <t xml:space="preserve">Use the plain word for 'cool with water' | Use the local word with a warning</t>
  </si>
  <si>
    <t xml:space="preserve">a3</t>
  </si>
  <si>
    <t xml:space="preserve">Pilot: check the Spanish choking guide for mistakes</t>
  </si>
  <si>
    <t xml:space="preserve">Good for you if you speak Spanish</t>
  </si>
  <si>
    <t xml:space="preserve">Second half of the pilot: a separate person checks a finished translation so we learn how long a check takes.</t>
  </si>
  <si>
    <t xml:space="preserve">1. Read the English master
2. Read the Spanish version line by line
3. Mark any change in meaning
4. Back-translate 3 key lines to English</t>
  </si>
  <si>
    <t xml:space="preserve">Checked guide with comments + 3 back-translated lines</t>
  </si>
  <si>
    <t xml:space="preserve">Every line marked OK or fixed</t>
  </si>
  <si>
    <t xml:space="preserve">Lead nurse spot-checks the back-translation</t>
  </si>
  <si>
    <t xml:space="preserve">Lines up master and translation side by side</t>
  </si>
  <si>
    <t xml:space="preserve">Judges meaning and safety</t>
  </si>
  <si>
    <t xml:space="preserve">Weblate review mode</t>
  </si>
  <si>
    <t xml:space="preserve">Native Spanish</t>
  </si>
  <si>
    <t xml:space="preserve">a4</t>
  </si>
  <si>
    <t xml:space="preserve">Draw simple pictures for the CPR guide</t>
  </si>
  <si>
    <t xml:space="preserve">Good for you if you can draw simple pictures</t>
  </si>
  <si>
    <t xml:space="preserve">Pictures carry the guide when reading is hard. This sets the style for all 20 guides.</t>
  </si>
  <si>
    <t xml:space="preserve">1. Read the CPR master
2. Sketch 4–6 panels with no words
3. Use neutral, varied skin tones and clothes
4. Export as SVG</t>
  </si>
  <si>
    <t xml:space="preserve">4–6 SVG panels + style note</t>
  </si>
  <si>
    <t xml:space="preserve">3 testers who did not read the text describe the steps correctly</t>
  </si>
  <si>
    <t xml:space="preserve">Lead nurse + 1 Checker</t>
  </si>
  <si>
    <t xml:space="preserve">Suggests panel layout from the text</t>
  </si>
  <si>
    <t xml:space="preserve">Draws and judges clarity</t>
  </si>
  <si>
    <t xml:space="preserve">Any vector tool</t>
  </si>
  <si>
    <t xml:space="preserve">Illustration</t>
  </si>
  <si>
    <t xml:space="preserve">Show the hand position close-up or the whole scene?</t>
  </si>
  <si>
    <t xml:space="preserve">Close-up | Whole scene | Both in two panels</t>
  </si>
  <si>
    <t xml:space="preserve">a5</t>
  </si>
  <si>
    <t xml:space="preserve">Find 5 people who speak a language we don't have</t>
  </si>
  <si>
    <t xml:space="preserve">Good for you if you are in online groups for a less common language</t>
  </si>
  <si>
    <t xml:space="preserve">30 of our 50 languages have no speaker yet. Recruiting now stops Stage 2 from stalling.</t>
  </si>
  <si>
    <t xml:space="preserve">1. Pick a language from the missing list
2. Post the call in public groups for that language
3. Explain the pay and time
4. Send sign-up links</t>
  </si>
  <si>
    <t xml:space="preserve">5 sign-ups with their language</t>
  </si>
  <si>
    <t xml:space="preserve">5 new players join and pass a 5-line sample test</t>
  </si>
  <si>
    <t xml:space="preserve">Language lead reviews samples</t>
  </si>
  <si>
    <t xml:space="preserve">Drafts the call in the target language</t>
  </si>
  <si>
    <t xml:space="preserve">Posts and answers questions</t>
  </si>
  <si>
    <t xml:space="preserve">Missing-language list, sign-up link</t>
  </si>
  <si>
    <t xml:space="preserve">a7</t>
  </si>
  <si>
    <t xml:space="preserve">Back First Aiders</t>
  </si>
  <si>
    <t xml:space="preserve">Good for you if you want to fund translators</t>
  </si>
  <si>
    <t xml:space="preserve">Backing pays native-speaker checkers in small languages.</t>
  </si>
  <si>
    <t xml:space="preserve">1. Read the plan
2. Choose an amount
3. Back the squad</t>
  </si>
  <si>
    <t xml:space="preserve">Backing recorded</t>
  </si>
  <si>
    <t xml:space="preserve">Summarises the plan and budget</t>
  </si>
  <si>
    <t xml:space="preserve">Decides to back</t>
  </si>
  <si>
    <t xml:space="preserve">In-app wallet</t>
  </si>
  <si>
    <t xml:space="preserve">a15</t>
  </si>
  <si>
    <t xml:space="preserve">Freeze the final list of 20 guides</t>
  </si>
  <si>
    <t xml:space="preserve">Good for you if you like making the final call</t>
  </si>
  <si>
    <t xml:space="preserve">Debate must end so translation can start. The Leader picks the last 6 from the suggestions and records why.</t>
  </si>
  <si>
    <t xml:space="preserve">1. Collect all a1 suggestions
2. Score each on how common and how much a bystander can help
3. Pick 6 and post reasons
4. Lock the list</t>
  </si>
  <si>
    <t xml:space="preserve">Final list of 20 with one-line reasons</t>
  </si>
  <si>
    <t xml:space="preserve">2 nurses agree and the list is locked</t>
  </si>
  <si>
    <t xml:space="preserve">Tallies suggestions and scores</t>
  </si>
  <si>
    <t xml:space="preserve">Makes the final call</t>
  </si>
  <si>
    <t xml:space="preserve">Topic form results</t>
  </si>
  <si>
    <t xml:space="preserve">Leading a team; first-aid knowledge</t>
  </si>
  <si>
    <t xml:space="preserve">Two good topics tie for the last slot. What now?</t>
  </si>
  <si>
    <t xml:space="preserve">Pick the more common one | Merge them into one guide | Ask the squad to vote</t>
  </si>
  <si>
    <t xml:space="preserve">a16</t>
  </si>
  <si>
    <t xml:space="preserve">Plan the 50 languages in three waves</t>
  </si>
  <si>
    <t xml:space="preserve">Good for you if you like spreadsheets and plans</t>
  </si>
  <si>
    <t xml:space="preserve">Languages with speakers ready go first, so work never sits waiting.</t>
  </si>
  <si>
    <t xml:space="preserve">1. Use pilot times from a2 and a3
2. List languages by speakers signed up
3. Split into 3 waves
4. Set dates and pay per wave</t>
  </si>
  <si>
    <t xml:space="preserve">Wave plan sheet</t>
  </si>
  <si>
    <t xml:space="preserve">Every language has a wave, a lead or an open call</t>
  </si>
  <si>
    <t xml:space="preserve">Builds the sheet from sign-up data</t>
  </si>
  <si>
    <t xml:space="preserve">Sets priorities</t>
  </si>
  <si>
    <t xml:space="preserve">Spreadsheet</t>
  </si>
  <si>
    <t xml:space="preserve">Planning</t>
  </si>
  <si>
    <t xml:space="preserve">a2, a3, a5</t>
  </si>
  <si>
    <t xml:space="preserve">a17</t>
  </si>
  <si>
    <t xml:space="preserve">Read the burns guide and mark confusing words</t>
  </si>
  <si>
    <t xml:space="preserve">Good for you if you have never studied first aid</t>
  </si>
  <si>
    <t xml:space="preserve">The guide is for ordinary people. If you stumble on a word, so will a scared parent.</t>
  </si>
  <si>
    <t xml:space="preserve">1. Read the master burns guide
2. Underline any word you would not use
3. Say what you would do after reading it</t>
  </si>
  <si>
    <t xml:space="preserve">Marked-up guide</t>
  </si>
  <si>
    <t xml:space="preserve">Every hard word marked</t>
  </si>
  <si>
    <t xml:space="preserve">Collects marks from all readers</t>
  </si>
  <si>
    <t xml:space="preserve">Reads honestly</t>
  </si>
  <si>
    <t xml:space="preserve">a8</t>
  </si>
  <si>
    <t xml:space="preserve">Build the 30-word Hausa first-aid glossary</t>
  </si>
  <si>
    <t xml:space="preserve">Good for you if you speak Hausa</t>
  </si>
  <si>
    <t xml:space="preserve">Words like 'airway' and 'unconscious' must be the same in all 20 guides.</t>
  </si>
  <si>
    <t xml:space="preserve">1. Take the 30-term list
2. Give the common Hausa word or phrase
3. Note if a picture is better
4. Agree with a second speaker</t>
  </si>
  <si>
    <t xml:space="preserve">Glossary in Weblate</t>
  </si>
  <si>
    <t xml:space="preserve">All 30 terms agreed by 2 speakers</t>
  </si>
  <si>
    <t xml:space="preserve">1 Hausa Checker</t>
  </si>
  <si>
    <t xml:space="preserve">Proposes candidates from public dictionaries</t>
  </si>
  <si>
    <t xml:space="preserve">Chooses what people really say</t>
  </si>
  <si>
    <t xml:space="preserve">Weblate glossary</t>
  </si>
  <si>
    <t xml:space="preserve">Native Hausa</t>
  </si>
  <si>
    <t xml:space="preserve">a15, a16</t>
  </si>
  <si>
    <t xml:space="preserve">A term has a formal and a street word. Which?</t>
  </si>
  <si>
    <t xml:space="preserve">Street word | Formal word | Both, street first</t>
  </si>
  <si>
    <t xml:space="preserve">a9</t>
  </si>
  <si>
    <t xml:space="preserve">Fix agent drafts of all 20 guides in Amharic</t>
  </si>
  <si>
    <t xml:space="preserve">L</t>
  </si>
  <si>
    <t xml:space="preserve">Good for you if you speak Amharic</t>
  </si>
  <si>
    <t xml:space="preserve">A full language set. Usually a day of careful work.</t>
  </si>
  <si>
    <t xml:space="preserve">1. Load the Amharic glossary
2. Fix each of 20 drafts
3. Check the Ge'ez script renders on a phone
4. Log hard lines</t>
  </si>
  <si>
    <t xml:space="preserve">20 fixed guides in Weblate</t>
  </si>
  <si>
    <t xml:space="preserve">All 20 marked translated; glossary terms used</t>
  </si>
  <si>
    <t xml:space="preserve">Stage 3 checker</t>
  </si>
  <si>
    <t xml:space="preserve">Drafts and flags uncertain lines</t>
  </si>
  <si>
    <t xml:space="preserve">Fixes meaning</t>
  </si>
  <si>
    <t xml:space="preserve">Weblate, Noto Sans Ethiopic</t>
  </si>
  <si>
    <t xml:space="preserve">Native Amharic</t>
  </si>
  <si>
    <t xml:space="preserve">a10</t>
  </si>
  <si>
    <t xml:space="preserve">Check the 20 Yoruba guides line by line</t>
  </si>
  <si>
    <t xml:space="preserve">Good for you if you speak Yoruba</t>
  </si>
  <si>
    <t xml:space="preserve">An independent native speaker is the last line before the public.</t>
  </si>
  <si>
    <t xml:space="preserve">1. Confirm you did not translate this set
2. Compare each guide to the master
3. Mark any meaning change
4. Send safety issues to a nurse</t>
  </si>
  <si>
    <t xml:space="preserve">20 guides marked checked + issue list</t>
  </si>
  <si>
    <t xml:space="preserve">All 20 approved or returned with reasons</t>
  </si>
  <si>
    <t xml:space="preserve">Nurse samples 2 guides</t>
  </si>
  <si>
    <t xml:space="preserve">Highlights lines that differ most from the master</t>
  </si>
  <si>
    <t xml:space="preserve">Judges each line</t>
  </si>
  <si>
    <t xml:space="preserve">Weblate review</t>
  </si>
  <si>
    <t xml:space="preserve">Native Yoruba</t>
  </si>
  <si>
    <t xml:space="preserve">a11</t>
  </si>
  <si>
    <t xml:space="preserve">Back-translate 10% of guides and compare</t>
  </si>
  <si>
    <t xml:space="preserve">Good for you if you read medical English carefully</t>
  </si>
  <si>
    <t xml:space="preserve">Back-translation catches errors a single checker may miss.</t>
  </si>
  <si>
    <t xml:space="preserve">1. Draw 100 random pairs
2. Get each back-translated to English by a different speaker
3. Compare to master
4. Flag safety-changing differences</t>
  </si>
  <si>
    <t xml:space="preserve">Comparison sheet for 100 pairs</t>
  </si>
  <si>
    <t xml:space="preserve">Zero safety-changing errors left open</t>
  </si>
  <si>
    <t xml:space="preserve">Lead nurse</t>
  </si>
  <si>
    <t xml:space="preserve">Draws the random sample and lines up texts</t>
  </si>
  <si>
    <t xml:space="preserve">Judges what counts as safety-changing</t>
  </si>
  <si>
    <t xml:space="preserve">Spreadsheet, Weblate export</t>
  </si>
  <si>
    <t xml:space="preserve">Medical English</t>
  </si>
  <si>
    <t xml:space="preserve">Back-translation shows 2 safety errors in one language. What now?</t>
  </si>
  <si>
    <t xml:space="preserve">Re-check that whole language | Fix only flagged lines</t>
  </si>
  <si>
    <t xml:space="preserve">a12</t>
  </si>
  <si>
    <t xml:space="preserve">Build the offline app under 30 MB</t>
  </si>
  <si>
    <t xml:space="preserve">Good for you if you can build Android apps</t>
  </si>
  <si>
    <t xml:space="preserve">Many readers have cheap phones and little data.</t>
  </si>
  <si>
    <t xml:space="preserve">1. Bundle text and SVGs
2. Add local emergency numbers by country
3. Test on a 2 GB Android phone
4. Publish the open-source code</t>
  </si>
  <si>
    <t xml:space="preserve">APK + repo link</t>
  </si>
  <si>
    <t xml:space="preserve">Opens offline in all 50 languages on a 2 GB phone</t>
  </si>
  <si>
    <t xml:space="preserve">3 Checkers on different phones</t>
  </si>
  <si>
    <t xml:space="preserve">Writes and tests build scripts</t>
  </si>
  <si>
    <t xml:space="preserve">Tests on a real phone</t>
  </si>
  <si>
    <t xml:space="preserve">Android SDK, Noto fonts</t>
  </si>
  <si>
    <t xml:space="preserve">Mobile development</t>
  </si>
  <si>
    <t xml:space="preserve">a13</t>
  </si>
  <si>
    <t xml:space="preserve">Lay out printable A5 cards for all languages</t>
  </si>
  <si>
    <t xml:space="preserve">Good for you if you can do print layout</t>
  </si>
  <si>
    <t xml:space="preserve">Cards go on clinic and classroom walls.</t>
  </si>
  <si>
    <t xml:space="preserve">1. Build one template
2. Auto-fill each language
3. Check right-to-left and long scripts fit
4. Export PDFs</t>
  </si>
  <si>
    <t xml:space="preserve">1,000 PDFs in a zip</t>
  </si>
  <si>
    <t xml:space="preserve">Random 20 print correctly</t>
  </si>
  <si>
    <t xml:space="preserve">2 Checkers print and inspect</t>
  </si>
  <si>
    <t xml:space="preserve">Fills templates</t>
  </si>
  <si>
    <t xml:space="preserve">Checks layouts</t>
  </si>
  <si>
    <t xml:space="preserve">Typst or Scribus</t>
  </si>
  <si>
    <t xml:space="preserve">Layout</t>
  </si>
  <si>
    <t xml:space="preserve">a11, a4</t>
  </si>
  <si>
    <t xml:space="preserve">m1</t>
  </si>
  <si>
    <t xml:space="preserve">Clean 10,000 lines of Odia text</t>
  </si>
  <si>
    <t xml:space="preserve">Good for you if you read Odia</t>
  </si>
  <si>
    <t xml:space="preserve">Odia is one of the languages below the 5-million-word floor. Much of the Odia text online uses old non-Unicode fonts or mixes in English menus and ads. Clean lines decide whether the model ever learns Odia properly.</t>
  </si>
  <si>
    <t xml:space="preserve">1. Open the batch of 10,000 lines your agent pre-sorted
2. Fix or drop lines with broken characters from legacy fonts
3. Drop menus, ads, and lines that are not Odia
4. Mark any line with names, phone numbers or addresses
5. Submit the clean file with a one-line note on what you dropped</t>
  </si>
  <si>
    <t xml:space="preserve">A UTF-8 text file of clean Odia lines plus a dropped-lines log (counts by reason)</t>
  </si>
  <si>
    <t xml:space="preserve">At most 5% of a 200-line random sample is junk, non-Odia or contains personal data</t>
  </si>
  <si>
    <t xml:space="preserve">1 Odia-reading Checker reviews 200 random lines</t>
  </si>
  <si>
    <t xml:space="preserve">Runs language-ID and script checks, flags legacy-font garbage, strips obvious phone and ID numbers, and pre-sorts the lines into keep, maybe and drop</t>
  </si>
  <si>
    <t xml:space="preserve">Reads the 'maybe' lines, judges what is real Odia, and fixes text the scripts cannot</t>
  </si>
  <si>
    <t xml:space="preserve">IndicLID, IndicNLP Library normaliser, the shared cleaning sheet</t>
  </si>
  <si>
    <t xml:space="preserve">Reads and writes Odia fluently</t>
  </si>
  <si>
    <t xml:space="preserve">m9</t>
  </si>
  <si>
    <t xml:space="preserve">About 15% of lines mix Odia with English words in Latin script (code-mixing). Keep or drop?</t>
  </si>
  <si>
    <t xml:space="preserve">Keep: this is how people really write | Drop: keep the corpus pure Odia | Keep, but cap mixed lines at 10% of the batch</t>
  </si>
  <si>
    <t xml:space="preserve">m2</t>
  </si>
  <si>
    <t xml:space="preserve">Write 50 test questions in Kannada</t>
  </si>
  <si>
    <t xml:space="preserve">Good for you if you speak Kannada and like writing puzzles</t>
  </si>
  <si>
    <t xml:space="preserve">We test the model on questions written by native speakers, not translated from English. They are written now and locked away before training, so the model can never have seen them.</t>
  </si>
  <si>
    <t xml:space="preserve">1. Write 50 questions across reading, grammar, local knowledge and everyday tasks
2. Write the correct answer and a short scoring note for each
3. Avoid anything copied from a website or textbook
4. Submit through the frozen-test form so the file is hashed</t>
  </si>
  <si>
    <t xml:space="preserve">50 question/answer/scoring-note rows in the test template, with the SHA-256 hash recorded</t>
  </si>
  <si>
    <t xml:space="preserve">A second Kannada speaker agrees with at least 45 of 50 answers. A web search finds no copied questions.</t>
  </si>
  <si>
    <t xml:space="preserve">1 Kannada-speaking Checker answers all 50 blind and compares</t>
  </si>
  <si>
    <t xml:space="preserve">Checks for duplicates against public benchmarks, searches the web for copied text, and formats and hashes the file</t>
  </si>
  <si>
    <t xml:space="preserve">Writes the questions in natural Kannada with local context only a speaker knows</t>
  </si>
  <si>
    <t xml:space="preserve">Frozen-test form, web search</t>
  </si>
  <si>
    <t xml:space="preserve">Native Kannada; some teaching or writing experience helps</t>
  </si>
  <si>
    <t xml:space="preserve">m3</t>
  </si>
  <si>
    <t xml:space="preserve">Check 100 model answers in Hindi</t>
  </si>
  <si>
    <t xml:space="preserve">Good for you if you read Hindi closely</t>
  </si>
  <si>
    <t xml:space="preserve">Bharat Base trained a 100-million-parameter pilot model. Grading its Hindi answers tests our scoring guide before the real evaluation, when it matters most.</t>
  </si>
  <si>
    <t xml:space="preserve">1. Read each question and the pilot model's answer
2. Score 0–2 for correctness and 0–2 for natural Hindi
3. Flag any answer where the guide was unclear
4. Submit the scores and the list of unclear rules</t>
  </si>
  <si>
    <t xml:space="preserve">Score sheet of 100 rows plus a list of scoring-guide problems</t>
  </si>
  <si>
    <t xml:space="preserve">A second grader's scores agree on at least 80% of items</t>
  </si>
  <si>
    <t xml:space="preserve">A second Hindi Checker re-grades 25 at random</t>
  </si>
  <si>
    <t xml:space="preserve">Lays out each question and answer side by side, records scores, and computes agreement</t>
  </si>
  <si>
    <t xml:space="preserve">Judges whether the Hindi is correct and natural, which only a fluent reader can do</t>
  </si>
  <si>
    <t xml:space="preserve">Grading sheet, scoring guide v0.3</t>
  </si>
  <si>
    <t xml:space="preserve">Fluent Hindi reader</t>
  </si>
  <si>
    <t xml:space="preserve">llm-base-back</t>
  </si>
  <si>
    <t xml:space="preserve">Back Bharat Base's GPU bill</t>
  </si>
  <si>
    <t xml:space="preserve">Good for you if you want to fund open AI for Indian languages</t>
  </si>
  <si>
    <t xml:space="preserve">Bharat Base has about 3 weeks of GPU money left for test runs and is ₹14 lakh short of the full training plan. Backing them is the play. Unspent money goes back if the mission stops.</t>
  </si>
  <si>
    <t xml:space="preserve">1. Read the squad's GPU budget and burn rate
2. Choose an amount
3. Confirm the backing</t>
  </si>
  <si>
    <t xml:space="preserve">Payment confirmed</t>
  </si>
  <si>
    <t xml:space="preserve">Automatic ledger check</t>
  </si>
  <si>
    <t xml:space="preserve">Summarises the squad's spend so far and what each ₹10,000 buys (about 40 GPU-hours)</t>
  </si>
  <si>
    <t xml:space="preserve">Decides whether and how much to back</t>
  </si>
  <si>
    <t xml:space="preserve">Joystick wallet</t>
  </si>
  <si>
    <t xml:space="preserve">m15</t>
  </si>
  <si>
    <t xml:space="preserve">Decide which languages get extra repeats</t>
  </si>
  <si>
    <t xml:space="preserve">Good for you if you can make a firm call and own it</t>
  </si>
  <si>
    <t xml:space="preserve">Some small languages will stay below the floor. The Leader must decide how many times to repeat their text, which helps them but risks the model memorising it, and say so publicly before the corpus is frozen.</t>
  </si>
  <si>
    <t xml:space="preserve">1. Read the per-language word counts after dedup (m8)
2. Read the pilot-model loss for each language
3. Set a repeat count (1–4) per language
4. Publish the table with one line of reasoning per language</t>
  </si>
  <si>
    <t xml:space="preserve">A 22-row language-mix table with repeat counts and reasons</t>
  </si>
  <si>
    <t xml:space="preserve">Mission creator and 2 Checkers approve the table; no language is repeated more than 4 times</t>
  </si>
  <si>
    <t xml:space="preserve">2 Checkers compare the table against the dedup report</t>
  </si>
  <si>
    <t xml:space="preserve">Builds the counts table and simulates the token totals for each mix</t>
  </si>
  <si>
    <t xml:space="preserve">Makes the trade-off between fairness to small languages and model quality</t>
  </si>
  <si>
    <t xml:space="preserve">Dedup report, pilot-model losses</t>
  </si>
  <si>
    <t xml:space="preserve">LLM training judgement</t>
  </si>
  <si>
    <t xml:space="preserve">m8</t>
  </si>
  <si>
    <t xml:space="preserve">Santali has 3 million clean words, below the 5-million floor</t>
  </si>
  <si>
    <t xml:space="preserve">Repeat 4× and flag it in the model card | Pause the freeze 3 weeks for more m10 sentences | Ship without Santali and say so</t>
  </si>
  <si>
    <t xml:space="preserve">m4</t>
  </si>
  <si>
    <t xml:space="preserve">Set up the training run on 64 GPUs</t>
  </si>
  <si>
    <t xml:space="preserve">Good for you if you have run multi-GPU training</t>
  </si>
  <si>
    <t xml:space="preserve">The main run must survive crashes and node failures without losing days. A good setup saves more GPU money than any other single task.</t>
  </si>
  <si>
    <t xml:space="preserve">1. Set up data loading from the frozen corpus with the chosen language mix
2. Set checkpoints every 2 hours to shared storage
3. Run a 1-hour smoke test on all 64 GPUs and measure throughput
4. Add alerts for loss spikes and dead nodes
5. Write the restart runbook</t>
  </si>
  <si>
    <t xml:space="preserve">Training config repo, smoke-test log with tokens per second per GPU, and the restart runbook</t>
  </si>
  <si>
    <t xml:space="preserve">The smoke test reaches at least 35% of peak GPU throughput, and a forced restart from checkpoint resumes in 15 minutes or less</t>
  </si>
  <si>
    <t xml:space="preserve">2 Checkers (ML) kill one node on purpose and watch it recover</t>
  </si>
  <si>
    <t xml:space="preserve">Writes config files, launches the smoke test, and parses throughput logs</t>
  </si>
  <si>
    <t xml:space="preserve">Chooses parallelism settings, judges whether throughput is good enough, and owns the go/no-go</t>
  </si>
  <si>
    <t xml:space="preserve">64-GPU cluster, PyTorch training stack, shared storage</t>
  </si>
  <si>
    <t xml:space="preserve">Distributed training</t>
  </si>
  <si>
    <t xml:space="preserve">m7, m11, llm-base-back</t>
  </si>
  <si>
    <t xml:space="preserve">m5</t>
  </si>
  <si>
    <t xml:space="preserve">Plan how Fine-Tune Force joins Bharat Base</t>
  </si>
  <si>
    <t xml:space="preserve">Good for you if you like getting two teams to agree</t>
  </si>
  <si>
    <t xml:space="preserve">Both squads use the same data, so running them apart doubles the cost. The merge has to keep what Fine-Tune Force does well: starting from a stronger model.</t>
  </si>
  <si>
    <t xml:space="preserve">1. List both squads' people, money, code and test results
2. Propose one plan with a from-scratch arm and a tuned arm
3. Agree how the ₹2 lakh Fine-Tune Force raised moves over
4. Get both Leaders to sign</t>
  </si>
  <si>
    <t xml:space="preserve">A 1-page merge plan signed by both Leaders</t>
  </si>
  <si>
    <t xml:space="preserve">Both Leaders and the mission creator approve the plan in writing</t>
  </si>
  <si>
    <t xml:space="preserve">Drafts the plan from both squads' boards and compares costs</t>
  </si>
  <si>
    <t xml:space="preserve">Negotiates who leads what and how credit is shared</t>
  </si>
  <si>
    <t xml:space="preserve">Squad boards, budget sheet</t>
  </si>
  <si>
    <t xml:space="preserve">Planning, negotiation</t>
  </si>
  <si>
    <t xml:space="preserve">m7</t>
  </si>
  <si>
    <t xml:space="preserve">Does the tuned arm survive the merge?</t>
  </si>
  <si>
    <t xml:space="preserve">Keep both arms; pick the winner in Stage 3 | Drop the tuned arm to save GPUs | Make the tuned arm the main plan</t>
  </si>
  <si>
    <t xml:space="preserve">m6</t>
  </si>
  <si>
    <t xml:space="preserve">Find 5 free sources of Tamil text</t>
  </si>
  <si>
    <t xml:space="preserve">Good for you if you read Tamil</t>
  </si>
  <si>
    <t xml:space="preserve">Tamil has plenty of text, but much of it has unclear licences. We need sources we can prove we are allowed to use.</t>
  </si>
  <si>
    <t xml:space="preserve">1. Search for public-domain, government and openly licensed Tamil text
2. Record the licence and URL of each
3. Estimate the word count of each</t>
  </si>
  <si>
    <t xml:space="preserve">5 rows in the licence log with URL, licence and word estimate</t>
  </si>
  <si>
    <t xml:space="preserve">Each licence is confirmed from the source's own page</t>
  </si>
  <si>
    <t xml:space="preserve">1 Checker opens all 5 and confirms the licence</t>
  </si>
  <si>
    <t xml:space="preserve">Searches, reads licence pages and estimates size</t>
  </si>
  <si>
    <t xml:space="preserve">Judges whether the text is real, good Tamil and worth the effort</t>
  </si>
  <si>
    <t xml:space="preserve">Web search, licence log</t>
  </si>
  <si>
    <t xml:space="preserve">Reads Tamil</t>
  </si>
  <si>
    <t xml:space="preserve">Build and test one tokenizer for 12 scripts</t>
  </si>
  <si>
    <t xml:space="preserve">Good for you if you can read Python and like scripts and alphabets</t>
  </si>
  <si>
    <t xml:space="preserve">The tokenizer decides how many pieces each word is cut into. If Odia words become 8 pieces and English words 1.3, the model is slower and worse at Odia. It cannot change after training starts.</t>
  </si>
  <si>
    <t xml:space="preserve">1. Sample balanced text from all 22 languages (cap Hindi so it does not dominate)
2. Train SentencePiece candidates at 3 vocabulary sizes
3. Measure tokens per word for each language on FLORES-200 sentences
4. Check rare scripts (Ol Chiki, Meitei Mayek) are not split into single letters
5. Publish the comparison table</t>
  </si>
  <si>
    <t xml:space="preserve">Tokenizer files, a per-language tokens-per-word table, and a recommendation</t>
  </si>
  <si>
    <t xml:space="preserve">Every language is at or below 1.5× English tokens per word, or the table shows why not</t>
  </si>
  <si>
    <t xml:space="preserve">2 Checkers re-run the measurement on 3 languages</t>
  </si>
  <si>
    <t xml:space="preserve">Builds the samples, trains the candidates and computes the tables</t>
  </si>
  <si>
    <t xml:space="preserve">Picks the vocabulary size and checks by eye that the splits make sense to a reader</t>
  </si>
  <si>
    <t xml:space="preserve">SentencePiece, FLORES-200, IndicNLP normaliser</t>
  </si>
  <si>
    <t xml:space="preserve">Tokenizers, Python</t>
  </si>
  <si>
    <t xml:space="preserve">Which vocabulary size?</t>
  </si>
  <si>
    <t xml:space="preserve">32k: small embeddings, rare scripts split more | 64k: balance | 128k: best splits, but eats a big part of a 1B model</t>
  </si>
  <si>
    <t xml:space="preserve">Remove duplicates and test leaks from the corpus</t>
  </si>
  <si>
    <t xml:space="preserve">Good for you if you like data pipelines</t>
  </si>
  <si>
    <t xml:space="preserve">Web text repeats the same news story thousands of times, and test questions can sneak in. Both make the model look better than it is.</t>
  </si>
  <si>
    <t xml:space="preserve">1. Run exact and near-duplicate removal per language
2. Search the corpus for every frozen test question
3. Remove matches and log counts
4. Report the words remaining per language</t>
  </si>
  <si>
    <t xml:space="preserve">Dedup report: words before and after per language, and test-leak hits removed</t>
  </si>
  <si>
    <t xml:space="preserve">Zero frozen test items are found in the corpus at 13-word overlap</t>
  </si>
  <si>
    <t xml:space="preserve">1 Checker plants 20 test sentences and confirms all 20 are caught</t>
  </si>
  <si>
    <t xml:space="preserve">Runs MinHash dedup and n-gram leak search and writes the report</t>
  </si>
  <si>
    <t xml:space="preserve">Sets the similarity threshold and spot-checks what was removed</t>
  </si>
  <si>
    <t xml:space="preserve">MinHash-LSH, frozen test hashes</t>
  </si>
  <si>
    <t xml:space="preserve">Data engineering</t>
  </si>
  <si>
    <t xml:space="preserve">Log licences for the first 40 text sources</t>
  </si>
  <si>
    <t xml:space="preserve">Good for you if you read terms pages carefully</t>
  </si>
  <si>
    <t xml:space="preserve">An open model is only open if we have the right to its text. One bad source can force a re-train.</t>
  </si>
  <si>
    <t xml:space="preserve">1. Open each source's terms page
2. Classify it: public domain, Sec. 52 government work, CC licence, or unclear
3. Drop the unclear ones
4. Record the evidence link</t>
  </si>
  <si>
    <t xml:space="preserve">40 rows in the licence log, each with an evidence link</t>
  </si>
  <si>
    <t xml:space="preserve">Every row has a licence class and a working evidence link</t>
  </si>
  <si>
    <t xml:space="preserve">Mission creator spot-checks 8 rows</t>
  </si>
  <si>
    <t xml:space="preserve">Fetches terms pages and drafts a classification</t>
  </si>
  <si>
    <t xml:space="preserve">Makes the final call on unclear cases</t>
  </si>
  <si>
    <t xml:space="preserve">Licence log, Copyright Act 1957 Sec. 52</t>
  </si>
  <si>
    <t xml:space="preserve">Careful reading; basic copyright knowledge</t>
  </si>
  <si>
    <t xml:space="preserve">m10</t>
  </si>
  <si>
    <t xml:space="preserve">Type 200 sentences in your mother tongue</t>
  </si>
  <si>
    <t xml:space="preserve">Good for you if your mother tongue is Bodo, Dogri, Santali, Kashmiri or another small language</t>
  </si>
  <si>
    <t xml:space="preserve">For Bodo, Dogri, Santali and Kashmiri there is too little open text. Everyday sentences from real speakers, given freely under CC-BY, close part of the gap.</t>
  </si>
  <si>
    <t xml:space="preserve">1. Pick a topic list (market, weather, school, farming)
2. Type 200 sentences in your own words
3. Do not include real names, phone numbers or private details
4. Agree to the CC-BY licence</t>
  </si>
  <si>
    <t xml:space="preserve">200 sentences in the submission form with the licence ticked</t>
  </si>
  <si>
    <t xml:space="preserve">Language-ID confirms the language for 95% or more of sentences and a speaker finds them natural</t>
  </si>
  <si>
    <t xml:space="preserve">1 Checker who speaks the language reads 40</t>
  </si>
  <si>
    <t xml:space="preserve">Suggests topics, checks the script and language, and flags personal details</t>
  </si>
  <si>
    <t xml:space="preserve">Writes natural sentences only a native speaker can</t>
  </si>
  <si>
    <t xml:space="preserve">Submission form with a script keyboard</t>
  </si>
  <si>
    <t xml:space="preserve">m11</t>
  </si>
  <si>
    <t xml:space="preserve">Choose final model size and token budget</t>
  </si>
  <si>
    <t xml:space="preserve">Good for you if you can weigh cost against quality</t>
  </si>
  <si>
    <t xml:space="preserve">The size of the model decides the GPU bill, whether it fits a laptop, and how many times we must repeat rare-language text. This is the most expensive single decision in the mission.</t>
  </si>
  <si>
    <t xml:space="preserve">1. Read the test-run results at 100M and 400M parameters
2. Estimate GPU-hours for 1B and 2B at the available tokens
3. Check against money raised
4. Decide and publish the reasons</t>
  </si>
  <si>
    <t xml:space="preserve">A 1-page decision note with GPU-hour and cost estimates</t>
  </si>
  <si>
    <t xml:space="preserve">Mission creator and 2 Checkers agree that the estimate matches the budget, with at least 15% to spare</t>
  </si>
  <si>
    <t xml:space="preserve">2 Checkers (ML) re-do the compute arithmetic</t>
  </si>
  <si>
    <t xml:space="preserve">Fits scaling curves from the test runs and prices the options</t>
  </si>
  <si>
    <t xml:space="preserve">Weighs laptop speed against quality and makes the call</t>
  </si>
  <si>
    <t xml:space="preserve">Test-run logs, budget sheet</t>
  </si>
  <si>
    <t xml:space="preserve">LLM training economics</t>
  </si>
  <si>
    <t xml:space="preserve">m7, m15</t>
  </si>
  <si>
    <t xml:space="preserve">With about 35 billion tokens of text, which model?</t>
  </si>
  <si>
    <t xml:space="preserve">1B, 4 epochs: fast on laptops, cheaper | 2B, 4 epochs: better quality, slower on laptops | 2B with a lower ₹ cap: fewer test runs</t>
  </si>
  <si>
    <t xml:space="preserve">m12</t>
  </si>
  <si>
    <t xml:space="preserve">Score the model in all 22 languages</t>
  </si>
  <si>
    <t xml:space="preserve">Good for you if you know evaluation and basic statistics</t>
  </si>
  <si>
    <t xml:space="preserve">This is the result the mission is judged on. Every language gets a score with a confidence range, and losses are published too.</t>
  </si>
  <si>
    <t xml:space="preserve">1. Run open benchmarks and frozen native tests on our model
2. Run the same tests on 2 open models of the same size
3. Collect human grades for open-ended answers
4. Build one table with confidence ranges
5. Mark wins only where the gap is larger than the range</t>
  </si>
  <si>
    <t xml:space="preserve">A 22-row results table, scoring scripts and raw outputs</t>
  </si>
  <si>
    <t xml:space="preserve">Re-running 10% of the items gives the same scores within 1 point</t>
  </si>
  <si>
    <t xml:space="preserve">2 Checkers re-run scripts; 1 native Expert per language audits 20 human grades</t>
  </si>
  <si>
    <t xml:space="preserve">Runs the evaluation harness, collects outputs and computes confidence ranges</t>
  </si>
  <si>
    <t xml:space="preserve">Decides what counts as a fair comparison and signs the table</t>
  </si>
  <si>
    <t xml:space="preserve">lm-evaluation-harness, IN22, FLORES-200, frozen tests</t>
  </si>
  <si>
    <t xml:space="preserve">Evaluation, statistics</t>
  </si>
  <si>
    <t xml:space="preserve">m4, m2, m3</t>
  </si>
  <si>
    <t xml:space="preserve">The test set for Dogri has only 200 items and the model wins by 1.5 points, inside the margin of error</t>
  </si>
  <si>
    <t xml:space="preserve">Count it as a tie | Write 300 more items and re-test | Count it as a win with a footnote</t>
  </si>
  <si>
    <t xml:space="preserve">m13</t>
  </si>
  <si>
    <t xml:space="preserve">Shrink the model to run on an 8 GB laptop</t>
  </si>
  <si>
    <t xml:space="preserve">Good for you if you have quantised models before</t>
  </si>
  <si>
    <t xml:space="preserve">Most of our users have a cheap laptop and no GPU. A 4-bit build must keep most of its quality in every language, not just Hindi.</t>
  </si>
  <si>
    <t xml:space="preserve">1. Build 4-bit and 5-bit GGUF versions
2. Re-run the 22-language test on each
3. Time it on 3 laptops with 8 GB RAM and no GPU
4. Publish the quality loss per language</t>
  </si>
  <si>
    <t xml:space="preserve">GGUF files, a speed table and a per-language quality-loss table</t>
  </si>
  <si>
    <t xml:space="preserve">10 or more tokens per second on all 3 laptops, and no language loses more than 3 points</t>
  </si>
  <si>
    <t xml:space="preserve">2 Checkers install it on their own laptops and time it</t>
  </si>
  <si>
    <t xml:space="preserve">Runs quantisation and the test suite and builds the tables</t>
  </si>
  <si>
    <t xml:space="preserve">Tests on real laptops and judges whether the output still reads naturally</t>
  </si>
  <si>
    <t xml:space="preserve">llama.cpp, GGUF, 3 test laptops</t>
  </si>
  <si>
    <t xml:space="preserve">Model quantisation</t>
  </si>
  <si>
    <t xml:space="preserve">m16</t>
  </si>
  <si>
    <t xml:space="preserve">Recruit Bodo and Santali speakers with a short video</t>
  </si>
  <si>
    <t xml:space="preserve">Good for you if you can make a short video that people share</t>
  </si>
  <si>
    <t xml:space="preserve">The quest m10 only works if speakers of small languages hear about it. A 60-second video in Bodo or Santali, made with a speaker, reaches people a poster in English never will.</t>
  </si>
  <si>
    <t xml:space="preserve">1. Pair with a Bodo or Santali speaker from the squad
2. Script 60 seconds: what the model is, why their language matters, how to join m10
3. Record it with subtitles in the language and in English
4. Post the link with a tracking code</t>
  </si>
  <si>
    <t xml:space="preserve">A video file or link, plus a tracking code</t>
  </si>
  <si>
    <t xml:space="preserve">The video is approved by the speaker and brings in 20 or more m10 sign-ups in 3 weeks</t>
  </si>
  <si>
    <t xml:space="preserve">1 Checker who speaks the language confirms the content; sign-ups counted automatically</t>
  </si>
  <si>
    <t xml:space="preserve">Drafts the script, makes subtitles and counts sign-ups</t>
  </si>
  <si>
    <t xml:space="preserve">Works with the speaker so the message sounds right to that community</t>
  </si>
  <si>
    <t xml:space="preserve">Phone camera, subtitle editor</t>
  </si>
  <si>
    <t xml:space="preserve">Short video, community outreach</t>
  </si>
  <si>
    <t xml:space="preserve">h6</t>
  </si>
  <si>
    <t xml:space="preserve">Build the quest loop: pick, do, hand in</t>
  </si>
  <si>
    <t xml:space="preserve">Good for you if you write TypeScript</t>
  </si>
  <si>
    <t xml:space="preserve">The core of the engine: the agent reads a quest, plans, calls tools, checks its own output and hands in. Everything else plugs into this loop.</t>
  </si>
  <si>
    <t xml:space="preserve">1. Write the plan → act → observe loop with a turn cap
2. Add token and time caps that stop the run cleanly
3. Log every model call and tool call with a run ID
4. Hand in through the quest API</t>
  </si>
  <si>
    <t xml:space="preserve">Merged PR with tests and a sample run log</t>
  </si>
  <si>
    <t xml:space="preserve">16 of 20 replay quests pass and no run exceeds its caps</t>
  </si>
  <si>
    <t xml:space="preserve">2 Checkers replay 5 runs each</t>
  </si>
  <si>
    <t xml:space="preserve">Writes most of the code and tests</t>
  </si>
  <si>
    <t xml:space="preserve">Designs the loop and the stop conditions and reviews every line that touches caps</t>
  </si>
  <si>
    <t xml:space="preserve">TypeScript, Node.js, model API</t>
  </si>
  <si>
    <t xml:space="preserve">TypeScript, agent design</t>
  </si>
  <si>
    <t xml:space="preserve">h7</t>
  </si>
  <si>
    <t xml:space="preserve">Record 20 real quests as a replay test set</t>
  </si>
  <si>
    <t xml:space="preserve">Good for you if you like designing tests</t>
  </si>
  <si>
    <t xml:space="preserve">Agents are noisy, so we need the same 20 quests to run again and again. Recorded tool responses make runs repeatable and free of side effects.</t>
  </si>
  <si>
    <t xml:space="preserve">1. Pick 20 finished quests across 5 missions
2. Record every tool response they needed
3. Write a pass/fail test for each
4. Store them as fixtures</t>
  </si>
  <si>
    <t xml:space="preserve">20 replay fixtures with pass/fail tests</t>
  </si>
  <si>
    <t xml:space="preserve">Each fixture replays with no network access</t>
  </si>
  <si>
    <t xml:space="preserve">1 Checker runs all 20 offline</t>
  </si>
  <si>
    <t xml:space="preserve">Captures tool responses and drafts the tests</t>
  </si>
  <si>
    <t xml:space="preserve">Chooses quests that cover the hard cases, not just the easy ones</t>
  </si>
  <si>
    <t xml:space="preserve">Replay recorder, quest archive</t>
  </si>
  <si>
    <t xml:space="preserve">Testing</t>
  </si>
  <si>
    <t xml:space="preserve">h3</t>
  </si>
  <si>
    <t xml:space="preserve">Write the rules for when an agent must ask its human</t>
  </si>
  <si>
    <t xml:space="preserve">Good for you if you think like a careful user</t>
  </si>
  <si>
    <t xml:space="preserve">If the agent asks too often, players give up. If it asks too rarely, it pays or pushes without consent. These rules become the 'ask' level in every tool manifest.</t>
  </si>
  <si>
    <t xml:space="preserve">1. List every action the 10 tools can take
2. Mark each one allow, ask or deny
3. Write one plain sentence per 'ask' that the player will see
4. Get 3 players to read it and say what they'd expect</t>
  </si>
  <si>
    <t xml:space="preserve">An action table (allow/ask/deny) plus prompt texts</t>
  </si>
  <si>
    <t xml:space="preserve">Every write, spend and outbound send is 'ask' or 'deny' unless capped</t>
  </si>
  <si>
    <t xml:space="preserve">2 Checkers try to find an action missing from the table</t>
  </si>
  <si>
    <t xml:space="preserve">Pulls the list of actions from the tool code and drafts the table</t>
  </si>
  <si>
    <t xml:space="preserve">Judges what a normal player would want to be asked about</t>
  </si>
  <si>
    <t xml:space="preserve">Tool source, table template</t>
  </si>
  <si>
    <t xml:space="preserve">Product judgement</t>
  </si>
  <si>
    <t xml:space="preserve">Opening a pull request on the player's own repo: allow or ask?</t>
  </si>
  <si>
    <t xml:space="preserve">Allow: it's reversible | Ask: it's public | Allow on branches, ask on main</t>
  </si>
  <si>
    <t xml:space="preserve">h8</t>
  </si>
  <si>
    <t xml:space="preserve">Approve the permission model for all tools</t>
  </si>
  <si>
    <t xml:space="preserve">Good for you if you can make a firm design call</t>
  </si>
  <si>
    <t xml:space="preserve">Every tool needs the same shape of manifest so the engine can enforce it in one place. Once Makers build to it, changing it is expensive.</t>
  </si>
  <si>
    <t xml:space="preserve">1. Read the Planner's allow/ask/deny table
2. Pick the manifest fields: reads, writes, spends, network hosts, secrets
3. Decide how tool output is marked as untrusted
4. Publish v1 and freeze it for 4 weeks</t>
  </si>
  <si>
    <t xml:space="preserve">Manifest spec v1 with an example for GitHub and the browser</t>
  </si>
  <si>
    <t xml:space="preserve">Both squads' Leads sign it, and the GitHub example passes the spec validator</t>
  </si>
  <si>
    <t xml:space="preserve">2 Checkers review it against OWASP LLM06 (Excessive Agency)</t>
  </si>
  <si>
    <t xml:space="preserve">Drafts the spec and a validator from the table</t>
  </si>
  <si>
    <t xml:space="preserve">Makes the trade-off between safety and how often players are interrupted</t>
  </si>
  <si>
    <t xml:space="preserve">MCP tool schema, h3 table</t>
  </si>
  <si>
    <t xml:space="preserve">System design, security basics</t>
  </si>
  <si>
    <t xml:space="preserve">What happens when a tool tries an action its manifest doesn't list?</t>
  </si>
  <si>
    <t xml:space="preserve">Hard deny and log | Pause and ask the human | Deny, but let the human add it to the manifest</t>
  </si>
  <si>
    <t xml:space="preserve">h1</t>
  </si>
  <si>
    <t xml:space="preserve">Add a GitHub tool the agent can use safely</t>
  </si>
  <si>
    <t xml:space="preserve">Good for you if you know the GitHub API</t>
  </si>
  <si>
    <t xml:space="preserve">Most quests touch code. The tool must let the agent read issues and open PRs without letting it merge, delete or touch other repos.</t>
  </si>
  <si>
    <t xml:space="preserve">1. Use a GitHub App with fine-grained, per-repo permissions
2. Write the manifest: read issues, write branches, open PRs; no merge, no delete
3. Mark issue and comment text as untrusted
4. Add tests for every denied action</t>
  </si>
  <si>
    <t xml:space="preserve">Merged PR with manifest, tests and a demo run log</t>
  </si>
  <si>
    <t xml:space="preserve">All denied-action tests pass, and the red-team suite's 10 GitHub attacks fail</t>
  </si>
  <si>
    <t xml:space="preserve">2 Checkers run the red-team suite on it</t>
  </si>
  <si>
    <t xml:space="preserve">Writes the wrapper code and tests</t>
  </si>
  <si>
    <t xml:space="preserve">Sets the GitHub App permissions and reviews the manifest line by line</t>
  </si>
  <si>
    <t xml:space="preserve">GitHub Apps, test org, manifest spec v1</t>
  </si>
  <si>
    <t xml:space="preserve">TypeScript, GitHub API</t>
  </si>
  <si>
    <t xml:space="preserve">h15</t>
  </si>
  <si>
    <t xml:space="preserve">Make the browser tool check before it clicks</t>
  </si>
  <si>
    <t xml:space="preserve">Good for you if you have written Playwright or Selenium tests</t>
  </si>
  <si>
    <t xml:space="preserve">Loop Lab's blocker: when a page shifts, the browser tool clicks the wrong button. On a payment page that is dangerous.</t>
  </si>
  <si>
    <t xml:space="preserve">1. Before a click, re-read the target's text and role from the page
2. Refuse if it doesn't match what the agent asked for
3. After the click, confirm the page changed as expected
4. Add 20 shifting-layout test pages</t>
  </si>
  <si>
    <t xml:space="preserve">PR plus a before/after wrong-click rate on 20 test pages</t>
  </si>
  <si>
    <t xml:space="preserve">Wrong clicks fall to 0 of 200 test clicks</t>
  </si>
  <si>
    <t xml:space="preserve">1 Checker adds 5 new shifting pages the Maker hasn't seen</t>
  </si>
  <si>
    <t xml:space="preserve">Builds the test pages and runs the click trials</t>
  </si>
  <si>
    <t xml:space="preserve">Decides what counts as a match and reviews the failure cases</t>
  </si>
  <si>
    <t xml:space="preserve">Playwright, test pages</t>
  </si>
  <si>
    <t xml:space="preserve">Browser automation</t>
  </si>
  <si>
    <t xml:space="preserve">h10</t>
  </si>
  <si>
    <t xml:space="preserve">Add spend caps with hold-then-pay</t>
  </si>
  <si>
    <t xml:space="preserve">Test-mode wallets only.</t>
  </si>
  <si>
    <t xml:space="preserve">Good for you if you've built anything that moves money</t>
  </si>
  <si>
    <t xml:space="preserve">The agent must never spend more than the quest allows, even if a network retry or a confused plan asks twice.</t>
  </si>
  <si>
    <t xml:space="preserve">1. Every spend first places a hold against the quest's cap
2. Pay only with an idempotency key tied to the hold
3. Write each step to an append-only double-entry ledger with a trace ID
4. Release unused holds when the quest ends</t>
  </si>
  <si>
    <t xml:space="preserve">PR with ledger schema, tests and a retry-storm test</t>
  </si>
  <si>
    <t xml:space="preserve">In 1,000 simulated retries, zero payments are made twice and no quest exceeds its cap</t>
  </si>
  <si>
    <t xml:space="preserve">2 Checkers run the retry-storm test and reconcile the ledger</t>
  </si>
  <si>
    <t xml:space="preserve">Writes the code and the simulation</t>
  </si>
  <si>
    <t xml:space="preserve">Designs the ledger and reviews every line that moves money</t>
  </si>
  <si>
    <t xml:space="preserve">Payment sandbox, Postgres</t>
  </si>
  <si>
    <t xml:space="preserve">Payments, databases</t>
  </si>
  <si>
    <t xml:space="preserve">A quest needs $12 more than its cap to finish</t>
  </si>
  <si>
    <t xml:space="preserve">Hard stop: hand in partial work | Ask the human to raise the cap | Auto-allow up to 10% over</t>
  </si>
  <si>
    <t xml:space="preserve">h11</t>
  </si>
  <si>
    <t xml:space="preserve">Run every tool call in a throwaway sandbox</t>
  </si>
  <si>
    <t xml:space="preserve">Good for you if you know Linux and containers</t>
  </si>
  <si>
    <t xml:space="preserve">If a fooled agent runs a bad command, the damage should stop at a sandbox that is thrown away after the call.</t>
  </si>
  <si>
    <t xml:space="preserve">1. Start a microVM per quest with no network by default
2. Allow only the hosts listed in the tool's manifest through a proxy
3. Mount secrets only for the tool that needs them, then wipe them
4. Measure start-up time</t>
  </si>
  <si>
    <t xml:space="preserve">PR, start-up timing table, and an escape-attempt test log</t>
  </si>
  <si>
    <t xml:space="preserve">Sandbox starts in under 1 second; 20 escape attempts all fail</t>
  </si>
  <si>
    <t xml:space="preserve">1 security Expert and 1 Checker try 5 escapes each</t>
  </si>
  <si>
    <t xml:space="preserve">Writes the sandbox config and test scripts</t>
  </si>
  <si>
    <t xml:space="preserve">Reviews network and secret rules, which are the parts that matter</t>
  </si>
  <si>
    <t xml:space="preserve">Firecracker or gVisor, egress proxy</t>
  </si>
  <si>
    <t xml:space="preserve">Linux, containers</t>
  </si>
  <si>
    <t xml:space="preserve">h9</t>
  </si>
  <si>
    <t xml:space="preserve">Write 30 prompt-injection attacks for the tools</t>
  </si>
  <si>
    <t xml:space="preserve">Attack only the test sandbox; never real sites or accounts.</t>
  </si>
  <si>
    <t xml:space="preserve">Good for you if you enjoy breaking things</t>
  </si>
  <si>
    <t xml:space="preserve">Web pages, issues and files can carry hidden instructions. Each attack you write becomes a permanent test in CI.</t>
  </si>
  <si>
    <t xml:space="preserve">1. Write 10 attacks in web pages (hidden text, alt text, fake system messages)
2. Write 10 in GitHub issues and comments
3. Write 10 in files the agent reads
4. For each, state what a successful attack would do (leak, spend, write)
5. Run them and record which succeed</t>
  </si>
  <si>
    <t xml:space="preserve">30 attack fixtures with expected-safe outcomes and a results table</t>
  </si>
  <si>
    <t xml:space="preserve">All 30 are in the CI suite; every success has an issue filed</t>
  </si>
  <si>
    <t xml:space="preserve">2 Checkers re-run 10 at random</t>
  </si>
  <si>
    <t xml:space="preserve">Generates variations of each attack and runs the suite</t>
  </si>
  <si>
    <t xml:space="preserve">Invents attacks that are actually new, not just reworded</t>
  </si>
  <si>
    <t xml:space="preserve">Red-team suite, test sandbox, OWASP LLM01</t>
  </si>
  <si>
    <t xml:space="preserve">Security mindset</t>
  </si>
  <si>
    <t xml:space="preserve">An attack in a web page makes the agent try to open an unlisted host. The sandbox blocks it, but the agent tried. Pass or fail?</t>
  </si>
  <si>
    <t xml:space="preserve">Pass: the sandbox did its job | Fail: the agent was fooled; fix the prompt too | Pass, but log it as a near miss</t>
  </si>
  <si>
    <t xml:space="preserve">h2</t>
  </si>
  <si>
    <t xml:space="preserve">Try to make the agent spend money it shouldn't</t>
  </si>
  <si>
    <t xml:space="preserve">Test accounts only.</t>
  </si>
  <si>
    <t xml:space="preserve">Good for you if you like finding loopholes</t>
  </si>
  <si>
    <t xml:space="preserve">The spend caps are only as good as the attacks they survive. You are paid to find a way around them.</t>
  </si>
  <si>
    <t xml:space="preserve">1. Read the spend cap design
2. Try 10 ways to spend over the cap (retries, split payments, injected instructions)
3. Record each attempt and result
4. File an issue for anything that gets through</t>
  </si>
  <si>
    <t xml:space="preserve">Attempt log with 10 rows and any issues filed</t>
  </si>
  <si>
    <t xml:space="preserve">10 distinct attempts are logged; each success is reproducible</t>
  </si>
  <si>
    <t xml:space="preserve">1 Checker reproduces any reported success</t>
  </si>
  <si>
    <t xml:space="preserve">Scripts the attempts and records results</t>
  </si>
  <si>
    <t xml:space="preserve">Thinks up attacks the designers didn't</t>
  </si>
  <si>
    <t xml:space="preserve">Test-mode wallet, ledger viewer</t>
  </si>
  <si>
    <t xml:space="preserve">Curiosity; some coding helps</t>
  </si>
  <si>
    <t xml:space="preserve">h4</t>
  </si>
  <si>
    <t xml:space="preserve">Run the engine on a real quest and log what broke</t>
  </si>
  <si>
    <t xml:space="preserve">Good for you if you have 15 minutes and an agent</t>
  </si>
  <si>
    <t xml:space="preserve">Tests miss what real players hit. Run your agent on a real S quest from any mission and tell us every moment it confused, stalled or surprised you.</t>
  </si>
  <si>
    <t xml:space="preserve">1. Install the engine
2. Pick an Open S quest
3. Let your agent run it, approving or refusing as asked
4. Note each confusing prompt, stall or wrong click</t>
  </si>
  <si>
    <t xml:space="preserve">A short report with the trace ID and a list of problems</t>
  </si>
  <si>
    <t xml:space="preserve">The report includes a trace ID that replays</t>
  </si>
  <si>
    <t xml:space="preserve">1 Checker replays the trace</t>
  </si>
  <si>
    <t xml:space="preserve">Runs the quest and exports the trace</t>
  </si>
  <si>
    <t xml:space="preserve">Notices what feels wrong or unsafe</t>
  </si>
  <si>
    <t xml:space="preserve">The engine, any Open S quest</t>
  </si>
  <si>
    <t xml:space="preserve">h5</t>
  </si>
  <si>
    <t xml:space="preserve">Explain the engine in a 2-minute video</t>
  </si>
  <si>
    <t xml:space="preserve">Good for you if you can explain tech to a friend</t>
  </si>
  <si>
    <t xml:space="preserve">Builders join when they get the safety model in 2 minutes: manifests, sandboxes, caps and checks.</t>
  </si>
  <si>
    <t xml:space="preserve">1. Read the manifest spec and the sandbox design
2. Script: one quest, four safety layers, one attack that fails
3. Record a screen capture with voice
4. Add the contributor link</t>
  </si>
  <si>
    <t xml:space="preserve">Video link plus a script</t>
  </si>
  <si>
    <t xml:space="preserve">Kit or Lena confirm it is accurate, and it is under 2:15</t>
  </si>
  <si>
    <t xml:space="preserve">1 Checker watches it for technical errors</t>
  </si>
  <si>
    <t xml:space="preserve">Drafts the script and captions</t>
  </si>
  <si>
    <t xml:space="preserve">Makes it clear and human</t>
  </si>
  <si>
    <t xml:space="preserve">Screen recorder</t>
  </si>
  <si>
    <t xml:space="preserve">Explaining tech simply</t>
  </si>
  <si>
    <t xml:space="preserve">har-crew-back</t>
  </si>
  <si>
    <t xml:space="preserve">Back Small Crew's model bill</t>
  </si>
  <si>
    <t xml:space="preserve">Good for you if you want safe agents to exist</t>
  </si>
  <si>
    <t xml:space="preserve">Small Crew runs 30 agents, and red-team runs multiply the model bill. They are $5,500 short. Backing them is the play.</t>
  </si>
  <si>
    <t xml:space="preserve">1. Read the squad's cost per red-team run
2. Choose an amount
3. Confirm</t>
  </si>
  <si>
    <t xml:space="preserve">Shows what each $100 buys (about 25 full red-team runs)</t>
  </si>
  <si>
    <t xml:space="preserve">Decides whether to back</t>
  </si>
  <si>
    <t xml:space="preserve">h12</t>
  </si>
  <si>
    <t xml:space="preserve">Build the checker agent that reviews before humans</t>
  </si>
  <si>
    <t xml:space="preserve">Good for you if you have built LLM evals</t>
  </si>
  <si>
    <t xml:space="preserve">The checker agent sees only the quest, the result and the evidence, never the maker's reasoning. It writes notes for the human reviewer.</t>
  </si>
  <si>
    <t xml:space="preserve">1. Give it a separate prompt and, where possible, a different model
2. Feed it result plus evidence only
3. Output: pass, fail or unsure, with reasons
4. Never let it approve a payment</t>
  </si>
  <si>
    <t xml:space="preserve">PR, rubric, and its scores on the replay set</t>
  </si>
  <si>
    <t xml:space="preserve">It flags at least 45 of 50 planted bad results</t>
  </si>
  <si>
    <t xml:space="preserve">3 human Checkers review 30 of its decisions</t>
  </si>
  <si>
    <t xml:space="preserve">Builds and tunes the checker</t>
  </si>
  <si>
    <t xml:space="preserve">Writes the rubric and judges the hard cases</t>
  </si>
  <si>
    <t xml:space="preserve">Replay set, planted bad results</t>
  </si>
  <si>
    <t xml:space="preserve">Agent design, evals</t>
  </si>
  <si>
    <t xml:space="preserve">h7, h9, h13</t>
  </si>
  <si>
    <t xml:space="preserve">Should the checker use the same model as the maker?</t>
  </si>
  <si>
    <t xml:space="preserve">Same model, different prompt: cheaper | Different model: fewer shared blind spots | Both, and flag disagreements</t>
  </si>
  <si>
    <t xml:space="preserve">h13</t>
  </si>
  <si>
    <t xml:space="preserve">Plant 50 bad results to test the checker</t>
  </si>
  <si>
    <t xml:space="preserve">Good for you if you're good at spotting subtle mistakes</t>
  </si>
  <si>
    <t xml:space="preserve">A checker is only measured by what it misses. Planted bad results (subtly wrong code, fake photos, wrong totals) give a fixed test.</t>
  </si>
  <si>
    <t xml:space="preserve">1. Write 50 results that look done but are wrong
2. Cover 5 kinds of error
3. Write why each is wrong
4. Keep them hidden from the Maker</t>
  </si>
  <si>
    <t xml:space="preserve">50 planted results with answer keys</t>
  </si>
  <si>
    <t xml:space="preserve">2 human Checkers find each error with the answer key</t>
  </si>
  <si>
    <t xml:space="preserve">Helps produce variations</t>
  </si>
  <si>
    <t xml:space="preserve">Designs errors that a quick look would miss</t>
  </si>
  <si>
    <t xml:space="preserve">Quest archive</t>
  </si>
  <si>
    <t xml:space="preserve">Domain knowledge in at least one mission</t>
  </si>
  <si>
    <t xml:space="preserve">h14</t>
  </si>
  <si>
    <t xml:space="preserve">Load-test 1,000 agents against the ledger</t>
  </si>
  <si>
    <t xml:space="preserve">Good for you if you've run load tests</t>
  </si>
  <si>
    <t xml:space="preserve">Money bugs hide in races and retries. 72 hours with 1,000 agents and injected outages is how they come out.</t>
  </si>
  <si>
    <t xml:space="preserve">1. Launch 1,000 sandboxed agents on replay quests
2. Inject network drops and payment timeouts
3. Reconcile the ledger with the sandbox every hour
4. Trace cost per quest with OpenTelemetry
5. Report every mismatch</t>
  </si>
  <si>
    <t xml:space="preserve">Load-test report, reconciliation logs and dashboards</t>
  </si>
  <si>
    <t xml:space="preserve">Zero mismatches, zero double payments, and every spend alert fires within 60 seconds</t>
  </si>
  <si>
    <t xml:space="preserve">2 Checkers reconcile 100 transactions by hand</t>
  </si>
  <si>
    <t xml:space="preserve">Runs the fleet and the reconciliation</t>
  </si>
  <si>
    <t xml:space="preserve">Designs the failures and calls stop if money looks wrong</t>
  </si>
  <si>
    <t xml:space="preserve">Sandbox fleet, payment sandbox, OpenTelemetry</t>
  </si>
  <si>
    <t xml:space="preserve">Distributed systems</t>
  </si>
  <si>
    <t xml:space="preserve">h10, h12</t>
  </si>
  <si>
    <t xml:space="preserve">On hour 40 one ledger entry is off by $0.01</t>
  </si>
  <si>
    <t xml:space="preserve">Halt all agents and investigate | Keep running, freeze that wallet | Restart the 72 hours after the fix</t>
  </si>
  <si>
    <t xml:space="preserve">r5</t>
  </si>
  <si>
    <t xml:space="preserve">Label 200 satellite photos</t>
  </si>
  <si>
    <t xml:space="preserve">Good for you if you've snorkelled or know reefs from above</t>
  </si>
  <si>
    <t xml:space="preserve">Part of the 1,000-tile pilot. Each tile is marked as coral, sand, rubble, algae or deep water.</t>
  </si>
  <si>
    <t xml:space="preserve">1. Open the labelling tool
2. Mark the cover class for each tile
3. Flag tiles that are too cloudy or deep to call</t>
  </si>
  <si>
    <t xml:space="preserve">200 labelled tiles</t>
  </si>
  <si>
    <t xml:space="preserve">At least 85% agreement with a Checker's re-label of 20</t>
  </si>
  <si>
    <t xml:space="preserve">1 Checker re-labels 20</t>
  </si>
  <si>
    <t xml:space="preserve">Pre-labels tiles and flags cloud</t>
  </si>
  <si>
    <t xml:space="preserve">Makes the call on tiles the agent isn't sure about</t>
  </si>
  <si>
    <t xml:space="preserve">Labelling tool, Sentinel-2 tiles</t>
  </si>
  <si>
    <t xml:space="preserve">Some reef or map experience</t>
  </si>
  <si>
    <t xml:space="preserve">r6</t>
  </si>
  <si>
    <t xml:space="preserve">Pick 200 survey sites near Cebu, Bohol and Fiji</t>
  </si>
  <si>
    <t xml:space="preserve">Good for you if you know the Visayas or Fiji coast</t>
  </si>
  <si>
    <t xml:space="preserve">Sites must cover healthy and damaged reefs, different depths, and places a boat can reach.</t>
  </si>
  <si>
    <t xml:space="preserve">1. Overlay labelled tiles with reef extent and heat stress
2. Pick sites across classes and depths
3. Check boat access and protected-area permits
4. Hold back 40 sites for testing</t>
  </si>
  <si>
    <t xml:space="preserve">Site list with GPS, class, depth and the 40 held-back sites marked</t>
  </si>
  <si>
    <t xml:space="preserve">Each class has at least 40 sites, and the held-back set is locked</t>
  </si>
  <si>
    <t xml:space="preserve">Runs the overlays and drafts the list</t>
  </si>
  <si>
    <t xml:space="preserve">Uses local knowledge of which sites are reachable and safe</t>
  </si>
  <si>
    <t xml:space="preserve">QGIS, Allen Coral Atlas, Coral Reef Watch</t>
  </si>
  <si>
    <t xml:space="preserve">Survey planning</t>
  </si>
  <si>
    <t xml:space="preserve">r11</t>
  </si>
  <si>
    <t xml:space="preserve">Write a scoring guide anyone can follow</t>
  </si>
  <si>
    <t xml:space="preserve">Good for you if you've done reef surveys</t>
  </si>
  <si>
    <t xml:space="preserve">Different divers scored the same site differently. One guide with example photos makes scores comparable.</t>
  </si>
  <si>
    <t xml:space="preserve">1. Define the 3 classes with 5 photo examples each
2. Write the transect and quadrat method
3. Write the snorkel version for reef flats
4. Test it with 2 divers on the same site</t>
  </si>
  <si>
    <t xml:space="preserve">Guide PDF with example photos</t>
  </si>
  <si>
    <t xml:space="preserve">2 divers scoring the same site agree within 10% cover</t>
  </si>
  <si>
    <t xml:space="preserve">1 marine-biology Checker</t>
  </si>
  <si>
    <t xml:space="preserve">Lays out the guide and collects example photos</t>
  </si>
  <si>
    <t xml:space="preserve">Writes the scoring method from experience</t>
  </si>
  <si>
    <t xml:space="preserve">Coral Health Chart, CoralNet</t>
  </si>
  <si>
    <t xml:space="preserve">Reef surveys</t>
  </si>
  <si>
    <t xml:space="preserve">r7</t>
  </si>
  <si>
    <t xml:space="preserve">Decide where the last boat money goes</t>
  </si>
  <si>
    <t xml:space="preserve">Good for you if you can make a hard call with little money</t>
  </si>
  <si>
    <t xml:space="preserve">Reef Ops has money for about 12 more boat days but needs about 45. Which sites get surveyed first decides whether the model learns all classes.</t>
  </si>
  <si>
    <t xml:space="preserve">1. Count scored sites per class
2. List remaining sites by cost and class
3. Choose the next 12 boat days
4. Publish the choice</t>
  </si>
  <si>
    <t xml:space="preserve">A 12-day site plan with reasons</t>
  </si>
  <si>
    <t xml:space="preserve">The plan raises the smallest class's count the most per dollar</t>
  </si>
  <si>
    <t xml:space="preserve">2 Checkers review the counts</t>
  </si>
  <si>
    <t xml:space="preserve">Computes cost per class per site</t>
  </si>
  <si>
    <t xml:space="preserve">Makes the call, including weather and safety</t>
  </si>
  <si>
    <t xml:space="preserve">Site list, budget sheet</t>
  </si>
  <si>
    <t xml:space="preserve">Survey leadership</t>
  </si>
  <si>
    <t xml:space="preserve">Spend on Cebu (cheap, many healthy sites) or Fiji (costly, bleached sites we lack)?</t>
  </si>
  <si>
    <t xml:space="preserve">Cebu: more sites per dollar | Fiji: fill the missing class | Half and half</t>
  </si>
  <si>
    <t xml:space="preserve">r4</t>
  </si>
  <si>
    <t xml:space="preserve">Find a dive shop in Fiji to join us</t>
  </si>
  <si>
    <t xml:space="preserve">Good for you if you're good at cold emails</t>
  </si>
  <si>
    <t xml:space="preserve">Fiji has the bleached sites we lack. A local shop with trained divers cuts the cost of flying people in.</t>
  </si>
  <si>
    <t xml:space="preserve">1. List 5 dive shops near the Fiji sites
2. Ask about at-cost boat days and survey training
3. Check their safety record and licences
4. Propose one</t>
  </si>
  <si>
    <t xml:space="preserve">Shortlist with replies and a recommended partner</t>
  </si>
  <si>
    <t xml:space="preserve">One shop agrees in writing to a price per boat day</t>
  </si>
  <si>
    <t xml:space="preserve">Mission creator reads the written offer</t>
  </si>
  <si>
    <t xml:space="preserve">Finds shops and drafts emails</t>
  </si>
  <si>
    <t xml:space="preserve">Builds trust and negotiates</t>
  </si>
  <si>
    <t xml:space="preserve">Email, map</t>
  </si>
  <si>
    <t xml:space="preserve">Negotiation</t>
  </si>
  <si>
    <t xml:space="preserve">r1</t>
  </si>
  <si>
    <t xml:space="preserve">Dive and score 5 reefs near Cebu</t>
  </si>
  <si>
    <t xml:space="preserve">On ground</t>
  </si>
  <si>
    <t xml:space="preserve">Certified divers only. Always dive with a buddy. Max 18 m, licensed local operator, dive insurance, no dive in bad weather. Touch nothing.</t>
  </si>
  <si>
    <t xml:space="preserve">Good for you if you're a certified diver in Cebu</t>
  </si>
  <si>
    <t xml:space="preserve">Each site gives a 50 m transect and 20 photo-quadrats, timed within 30 days of a cloud-free satellite image.</t>
  </si>
  <si>
    <t xml:space="preserve">1. Confirm permits and weather
2. Lay the transect at each site and photograph 20 quadrats
3. Record GPS, depth, time and the colour-chart score
4. Upload photos the same day</t>
  </si>
  <si>
    <t xml:space="preserve">5 site reports with 100 photos and GPS</t>
  </si>
  <si>
    <t xml:space="preserve">A Checker passes all 5 against the guide</t>
  </si>
  <si>
    <t xml:space="preserve">1 marine-biology Checker reviews all photos</t>
  </si>
  <si>
    <t xml:space="preserve">Plans the route, checks the satellite pass dates and pre-fills forms</t>
  </si>
  <si>
    <t xml:space="preserve">Dives safely and scores the reef</t>
  </si>
  <si>
    <t xml:space="preserve">Underwater camera, quadrat frame, transect tape, slate, GPS</t>
  </si>
  <si>
    <t xml:space="preserve">Advanced dive certification, reef ID</t>
  </si>
  <si>
    <t xml:space="preserve">r11, r7</t>
  </si>
  <si>
    <t xml:space="preserve">Visibility is 4 m at site 3. Your photos will be poor.</t>
  </si>
  <si>
    <t xml:space="preserve">Score anyway and flag it | Skip and come back | Swap to a nearby backup site</t>
  </si>
  <si>
    <t xml:space="preserve">r8</t>
  </si>
  <si>
    <t xml:space="preserve">Snorkel-check 3 shallow reef flats in Bohol</t>
  </si>
  <si>
    <t xml:space="preserve">Snorkel only at low tide on flats under 3 m, with a buddy and a local guide. Wear reef shoes and a rash guard; never stand on coral. Check tide and weather first.</t>
  </si>
  <si>
    <t xml:space="preserve">Good for you if you swim well and live near Bohol</t>
  </si>
  <si>
    <t xml:space="preserve">Reef flats are shallow enough to survey without a boat. It's cheaper and anyone who swims well can help.</t>
  </si>
  <si>
    <t xml:space="preserve">1. Get the snorkel version of the guide
2. Swim a 20 m line and take 10 photos straight down
3. Hold the colour chart next to 5 corals
4. Log GPS from your phone in a waterproof pouch</t>
  </si>
  <si>
    <t xml:space="preserve">3 site forms with 30 photos and GPS</t>
  </si>
  <si>
    <t xml:space="preserve">A Checker passes at least 2 of 3</t>
  </si>
  <si>
    <t xml:space="preserve">1 Checker reviews all photos</t>
  </si>
  <si>
    <t xml:space="preserve">Picks the low-tide window and pre-fills forms</t>
  </si>
  <si>
    <t xml:space="preserve">Swims, photographs and scores</t>
  </si>
  <si>
    <t xml:space="preserve">Phone in pouch, Coral Health Chart</t>
  </si>
  <si>
    <t xml:space="preserve">Confident swimmer</t>
  </si>
  <si>
    <t xml:space="preserve">r2</t>
  </si>
  <si>
    <t xml:space="preserve">Check 30 dive reports against their photos</t>
  </si>
  <si>
    <t xml:space="preserve">Good for you if you can tell coral from algae in a photo</t>
  </si>
  <si>
    <t xml:space="preserve">30 reports are waiting. Unchecked reports can't train the model, so this is the bottleneck right now.</t>
  </si>
  <si>
    <t xml:space="preserve">1. Open each report and its photos
2. Check the score against the guide
3. Check GPS and date match
4. Pass, fix or reject</t>
  </si>
  <si>
    <t xml:space="preserve">30 decisions with notes</t>
  </si>
  <si>
    <t xml:space="preserve">All 30 decided; a second Checker agrees on 5 of 5 random picks</t>
  </si>
  <si>
    <t xml:space="preserve">A second Checker re-checks 5</t>
  </si>
  <si>
    <t xml:space="preserve">Lines up photos with scores and flags mismatches</t>
  </si>
  <si>
    <t xml:space="preserve">Judges coral health from photos</t>
  </si>
  <si>
    <t xml:space="preserve">Report viewer, scoring guide</t>
  </si>
  <si>
    <t xml:space="preserve">Reef ID from photos</t>
  </si>
  <si>
    <t xml:space="preserve">r1, r8</t>
  </si>
  <si>
    <t xml:space="preserve">A report's photos look right, but its GPS puts the site 400 m from the reef edge</t>
  </si>
  <si>
    <t xml:space="preserve">Reject and ask the diver | Pass with the GPS corrected from the dive log | Pass, but keep it out of training</t>
  </si>
  <si>
    <t xml:space="preserve">r10</t>
  </si>
  <si>
    <t xml:space="preserve">Match each checked site to its satellite pixels</t>
  </si>
  <si>
    <t xml:space="preserve">Good for you if you can read Python and like maps</t>
  </si>
  <si>
    <t xml:space="preserve">Each site needs the cloud-free Sentinel-2 image closest in time, and the pixels that overlap its transect, before the model can learn from it.</t>
  </si>
  <si>
    <t xml:space="preserve">1. Find the nearest cloud-free image within 30 days
2. Extract pixels under the transect
3. Correct for water depth where possible
4. Store them as training rows</t>
  </si>
  <si>
    <t xml:space="preserve">Training table with one row per site</t>
  </si>
  <si>
    <t xml:space="preserve">Every checked site has a row or a reason it can't</t>
  </si>
  <si>
    <t xml:space="preserve">1 Checker re-runs 10 sites</t>
  </si>
  <si>
    <t xml:space="preserve">Searches imagery and extracts pixels</t>
  </si>
  <si>
    <t xml:space="preserve">Reviews cases with cloud or glint</t>
  </si>
  <si>
    <t xml:space="preserve">Sentinel-2, rasterio, cloud masks</t>
  </si>
  <si>
    <t xml:space="preserve">Python, remote sensing</t>
  </si>
  <si>
    <t xml:space="preserve">A site's nearest clear image is 45 days off</t>
  </si>
  <si>
    <t xml:space="preserve">Use it and flag it | Drop the site | Use it only for testing</t>
  </si>
  <si>
    <t xml:space="preserve">r3</t>
  </si>
  <si>
    <t xml:space="preserve">Check 50 reef maps made by agents</t>
  </si>
  <si>
    <t xml:space="preserve">Good for you if you're careful and like maps</t>
  </si>
  <si>
    <t xml:space="preserve">Sky Eyes has never had a human check. Until someone does, none of its 40 sites count.</t>
  </si>
  <si>
    <t xml:space="preserve">1. Open each agent map
2. Compare it to the image and any dive data
3. Mark right, wrong or can't tell</t>
  </si>
  <si>
    <t xml:space="preserve">50 verdicts</t>
  </si>
  <si>
    <t xml:space="preserve">All 50 marked with reasons</t>
  </si>
  <si>
    <t xml:space="preserve">A second Checker re-checks 10</t>
  </si>
  <si>
    <t xml:space="preserve">Shows the map, image and nearby dive data side by side</t>
  </si>
  <si>
    <t xml:space="preserve">Judges whether the map is right</t>
  </si>
  <si>
    <t xml:space="preserve">Map viewer</t>
  </si>
  <si>
    <t xml:space="preserve">Reading satellite images</t>
  </si>
  <si>
    <t xml:space="preserve">r9</t>
  </si>
  <si>
    <t xml:space="preserve">Tell the story of why Reef Ops is stuck</t>
  </si>
  <si>
    <t xml:space="preserve">Reef Ops is out of boat money and short of Checkers. A clear story with real photos brings divers, Checkers and backers.</t>
  </si>
  <si>
    <t xml:space="preserve">1. Interview Tomás for 15 minutes
2. Pick 5 photos from scored sites
3. Write a 300-word post on what a boat day buys
4. Link the r2 and back quests</t>
  </si>
  <si>
    <t xml:space="preserve">Post with photos and links</t>
  </si>
  <si>
    <t xml:space="preserve">Approved by the squad lead; brings 3 or more new Checkers or backers in 2 weeks</t>
  </si>
  <si>
    <t xml:space="preserve">Drafts and tracks sign-ups</t>
  </si>
  <si>
    <t xml:space="preserve">Interviews and tells it honestly</t>
  </si>
  <si>
    <t xml:space="preserve">Blog, photos</t>
  </si>
  <si>
    <t xml:space="preserve">reef-ops-back</t>
  </si>
  <si>
    <t xml:space="preserve">Back Reef Ops</t>
  </si>
  <si>
    <t xml:space="preserve">Good for you if you want to fund real dives</t>
  </si>
  <si>
    <t xml:space="preserve">About $500 covers one boat day for 2 divers and 2–3 sites. Reef Ops is $21,000 short.</t>
  </si>
  <si>
    <t xml:space="preserve">1. Read what each boat day buys
2. Choose an amount
3. Confirm</t>
  </si>
  <si>
    <t xml:space="preserve">Shows spend so far</t>
  </si>
  <si>
    <t xml:space="preserve">r12</t>
  </si>
  <si>
    <t xml:space="preserve">Train the reef health model on 160 sites</t>
  </si>
  <si>
    <t xml:space="preserve">Good for you if you've trained image models</t>
  </si>
  <si>
    <t xml:space="preserve">The model learns from the checked sites. The 40 held-back sites stay untouched for testing.</t>
  </si>
  <si>
    <t xml:space="preserve">1. Train on 160 sites with depth as an input
2. Check that it doesn't just learn depth
3. Write the error report</t>
  </si>
  <si>
    <t xml:space="preserve">Model, code and error report</t>
  </si>
  <si>
    <t xml:space="preserve">The model runs end to end and the report is complete</t>
  </si>
  <si>
    <t xml:space="preserve">1 outside remote-sensing Expert</t>
  </si>
  <si>
    <t xml:space="preserve">Runs training and the error analysis</t>
  </si>
  <si>
    <t xml:space="preserve">Spots shortcuts the model takes</t>
  </si>
  <si>
    <t xml:space="preserve">scikit-learn or PyTorch, training table</t>
  </si>
  <si>
    <t xml:space="preserve">ML, remote sensing</t>
  </si>
  <si>
    <t xml:space="preserve">Adding depth as an input lifts accuracy 6 points, but depth is unknown for most reefs on the public map</t>
  </si>
  <si>
    <t xml:space="preserve">Use it and estimate depth from the image | Leave depth out: lower score, honest map | Train both and publish both scores</t>
  </si>
  <si>
    <t xml:space="preserve">r13</t>
  </si>
  <si>
    <t xml:space="preserve">Test the model on 40 held-back reefs</t>
  </si>
  <si>
    <t xml:space="preserve">Good for you if you trust numbers only when you've re-run them</t>
  </si>
  <si>
    <t xml:space="preserve">This is the number Stage 3 is judged on.</t>
  </si>
  <si>
    <t xml:space="preserve">1. Run the model on the 40 held-back sites
2. Compute balanced accuracy
3. Report errors by class</t>
  </si>
  <si>
    <t xml:space="preserve">Accuracy table and confusion matrix</t>
  </si>
  <si>
    <t xml:space="preserve">Two Checkers get the same number</t>
  </si>
  <si>
    <t xml:space="preserve">Runs the test</t>
  </si>
  <si>
    <t xml:space="preserve">Confirms the test set was never used in training</t>
  </si>
  <si>
    <t xml:space="preserve">Model, held-back set</t>
  </si>
  <si>
    <t xml:space="preserve">Basic stats</t>
  </si>
  <si>
    <t xml:space="preserve">r14</t>
  </si>
  <si>
    <t xml:space="preserve">Publish the weekly map with a heat-stress layer</t>
  </si>
  <si>
    <t xml:space="preserve">Good for you if you've built data pipelines</t>
  </si>
  <si>
    <t xml:space="preserve">Rangers need one page: where water is hot this week, and where coral looks bleached in the latest clear image.</t>
  </si>
  <si>
    <t xml:space="preserve">1. Automate the weekly heat-stress pull
2. Run the model on each new clear image
3. Publish the web map and downloads
4. Alert on a missed update</t>
  </si>
  <si>
    <t xml:space="preserve">Live map URL and pipeline repo</t>
  </si>
  <si>
    <t xml:space="preserve">8 weeks with no missed update</t>
  </si>
  <si>
    <t xml:space="preserve">1 Checker spot-checks 20 tiles weekly</t>
  </si>
  <si>
    <t xml:space="preserve">Runs the pipeline</t>
  </si>
  <si>
    <t xml:space="preserve">Watches for silent failures</t>
  </si>
  <si>
    <t xml:space="preserve">Coral Reef Watch, Sentinel-2, web map</t>
  </si>
  <si>
    <t xml:space="preserve">Data pipelines</t>
  </si>
  <si>
    <t xml:space="preserve">lead-pipes-back</t>
  </si>
  <si>
    <t xml:space="preserve">Back Pipe Finders so they can start</t>
  </si>
  <si>
    <t xml:space="preserve">Good for you if you want safe tap water in Dayton</t>
  </si>
  <si>
    <t xml:space="preserve">Pipe Finders needs 54 more backers to launch. If it never launches, every pledge comes back.</t>
  </si>
  <si>
    <t xml:space="preserve">1. Read the plan and budget
2. Choose an amount
3. Confirm</t>
  </si>
  <si>
    <t xml:space="preserve">Pledge confirmed</t>
  </si>
  <si>
    <t xml:space="preserve">Summarises the plan and what $10 buys (one checked photo)</t>
  </si>
  <si>
    <t xml:space="preserve">l3</t>
  </si>
  <si>
    <t xml:space="preserve">Write the mission's privacy and neutrality rules</t>
  </si>
  <si>
    <t xml:space="preserve">Good for you if you care about privacy</t>
  </si>
  <si>
    <t xml:space="preserve">Residents will only share basement photos if they trust us, and the city will only use the data if we stay neutral.</t>
  </si>
  <si>
    <t xml:space="preserve">1. Write what is shown per block vs. per house
2. Set the smallest block size we publish
3. Write the no-politics rule
4. Publish it on the mission page</t>
  </si>
  <si>
    <t xml:space="preserve">1-page rules document</t>
  </si>
  <si>
    <t xml:space="preserve">2 Checkers find no way to identify a house from the published data</t>
  </si>
  <si>
    <t xml:space="preserve">Drafts it from similar public projects</t>
  </si>
  <si>
    <t xml:space="preserve">Makes the trade-offs</t>
  </si>
  <si>
    <t xml:space="preserve">Mission page</t>
  </si>
  <si>
    <t xml:space="preserve">Judgement</t>
  </si>
  <si>
    <t xml:space="preserve">A block has only 2 homes</t>
  </si>
  <si>
    <t xml:space="preserve">Merge it with the next block | Show 'too few to show' | Show it if both owners opt in</t>
  </si>
  <si>
    <t xml:space="preserve">l4</t>
  </si>
  <si>
    <t xml:space="preserve">Summarise Dayton's public lead line inventory</t>
  </si>
  <si>
    <t xml:space="preserve">Good for you if you're comfortable with spreadsheets</t>
  </si>
  <si>
    <t xml:space="preserve">The inventory is the starting point. We need counts of lead, galvanised, non-lead and unknown, by neighbourhood.</t>
  </si>
  <si>
    <t xml:space="preserve">1. Download the published inventory
2. Count lines by status and neighbourhood
3. Join addresses to blocks and year built
4. Write what the 'unknown' category really includes</t>
  </si>
  <si>
    <t xml:space="preserve">Summary table plus a 1-page note</t>
  </si>
  <si>
    <t xml:space="preserve">The counts add up to the inventory total</t>
  </si>
  <si>
    <t xml:space="preserve">1 Checker re-runs the counts</t>
  </si>
  <si>
    <t xml:space="preserve">Parses the file and joins parcel data</t>
  </si>
  <si>
    <t xml:space="preserve">Reads the inventory's notes like a water engineer</t>
  </si>
  <si>
    <t xml:space="preserve">City inventory, county parcel data, spreadsheet</t>
  </si>
  <si>
    <t xml:space="preserve">Water systems or data analysis</t>
  </si>
  <si>
    <t xml:space="preserve">The inventory lists 'galvanised, unknown if ever downstream of lead'. Count it as lead, non-lead or unknown?</t>
  </si>
  <si>
    <t xml:space="preserve">Unknown: needs a photo | Treat as lead, as the 2024 rule does for replacement | Report it as its own category</t>
  </si>
  <si>
    <t xml:space="preserve">l5</t>
  </si>
  <si>
    <t xml:space="preserve">Draft the records request for unknown lines</t>
  </si>
  <si>
    <t xml:space="preserve">Good for you if you write clear letters</t>
  </si>
  <si>
    <t xml:space="preserve">The inventory says 'unknown' but the city may hold tap cards or work orders that help. A precise request gets a faster answer.</t>
  </si>
  <si>
    <t xml:space="preserve">1. List what the city may hold: tap cards, work orders, inventory method
2. Write a narrow request under ORC 149.43
3. Have 1 Checker read it for clarity</t>
  </si>
  <si>
    <t xml:space="preserve">Draft request letter</t>
  </si>
  <si>
    <t xml:space="preserve">Ready to send at launch</t>
  </si>
  <si>
    <t xml:space="preserve">Drafts the letter</t>
  </si>
  <si>
    <t xml:space="preserve">Keeps it narrow and polite</t>
  </si>
  <si>
    <t xml:space="preserve">ORC 149.43</t>
  </si>
  <si>
    <t xml:space="preserve">Clear writing</t>
  </si>
  <si>
    <t xml:space="preserve">l1</t>
  </si>
  <si>
    <t xml:space="preserve">Ask the city for its water pipe records</t>
  </si>
  <si>
    <t xml:space="preserve">Good for you if you're patient</t>
  </si>
  <si>
    <t xml:space="preserve">Send the drafted request on launch day and track the reply.</t>
  </si>
  <si>
    <t xml:space="preserve">1. Send the request through the city's records portal
2. Log the date
3. Follow up politely after 10 business days</t>
  </si>
  <si>
    <t xml:space="preserve">Sent request plus reply or follow-up log</t>
  </si>
  <si>
    <t xml:space="preserve">Reply received or follow-up logged</t>
  </si>
  <si>
    <t xml:space="preserve">Tracks deadlines</t>
  </si>
  <si>
    <t xml:space="preserve">Sends and follows up</t>
  </si>
  <si>
    <t xml:space="preserve">City records portal</t>
  </si>
  <si>
    <t xml:space="preserve">l5, lead-pipes-back</t>
  </si>
  <si>
    <t xml:space="preserve">l8</t>
  </si>
  <si>
    <t xml:space="preserve">Write a 1-page magnet-and-coin pipe guide</t>
  </si>
  <si>
    <t xml:space="preserve">Good for you if you know plumbing</t>
  </si>
  <si>
    <t xml:space="preserve">Residents need to tell lead from galvanised and copper in 5 minutes, safely.</t>
  </si>
  <si>
    <t xml:space="preserve">1. Write the magnet and scratch steps
2. Add 4 example photos
3. Add the safety lines
4. Test it on 2 non-experts</t>
  </si>
  <si>
    <t xml:space="preserve">1-page guide (PDF)</t>
  </si>
  <si>
    <t xml:space="preserve">2 non-experts identify 4 of 4 example photos correctly</t>
  </si>
  <si>
    <t xml:space="preserve">Lays out the guide</t>
  </si>
  <si>
    <t xml:space="preserve">Writes it from 30 years of pipe experience</t>
  </si>
  <si>
    <t xml:space="preserve">EPA Protect Your Tap guide</t>
  </si>
  <si>
    <t xml:space="preserve">Plumbing or water systems</t>
  </si>
  <si>
    <t xml:space="preserve">l7</t>
  </si>
  <si>
    <t xml:space="preserve">Test the pipe guide on 20 sample photos</t>
  </si>
  <si>
    <t xml:space="preserve">Good for you if you're careful</t>
  </si>
  <si>
    <t xml:space="preserve">If the guide fails on sample photos, it will fail in basements.</t>
  </si>
  <si>
    <t xml:space="preserve">1. Use the guide on 20 labelled sample photos
2. Record your calls
3. Note which steps confused you</t>
  </si>
  <si>
    <t xml:space="preserve">20 calls plus notes</t>
  </si>
  <si>
    <t xml:space="preserve">At least 18 of 20 correct, or the guide is revised</t>
  </si>
  <si>
    <t xml:space="preserve">Scores the calls</t>
  </si>
  <si>
    <t xml:space="preserve">Uses the guide like a resident would</t>
  </si>
  <si>
    <t xml:space="preserve">Guide, sample photos</t>
  </si>
  <si>
    <t xml:space="preserve">l6</t>
  </si>
  <si>
    <t xml:space="preserve">Build a pipe-photo form that hides addresses</t>
  </si>
  <si>
    <t xml:space="preserve">Good for you if you build web forms</t>
  </si>
  <si>
    <t xml:space="preserve">The form collects a photo, a magnet result and a block, and strips everything else.</t>
  </si>
  <si>
    <t xml:space="preserve">1. Build a mobile form with the guide built in
2. Strip GPS and EXIF from photos
3. Store the address hashed and the block in the clear
4. Add the owner opt-in tick</t>
  </si>
  <si>
    <t xml:space="preserve">Form link and repo</t>
  </si>
  <si>
    <t xml:space="preserve">A Checker finds no GPS or address in exported data</t>
  </si>
  <si>
    <t xml:space="preserve">Writes most of the code</t>
  </si>
  <si>
    <t xml:space="preserve">Reviews the privacy parts</t>
  </si>
  <si>
    <t xml:space="preserve">Web form, hashing</t>
  </si>
  <si>
    <t xml:space="preserve">Web development</t>
  </si>
  <si>
    <t xml:space="preserve">l3, l8</t>
  </si>
  <si>
    <t xml:space="preserve">Ask for the street address (hashed) or just the block?</t>
  </si>
  <si>
    <t xml:space="preserve">Hashed address: lets the city act on each line | Block only: safest, but the city can't use it per house | Ask, and let the owner choose</t>
  </si>
  <si>
    <t xml:space="preserve">l9</t>
  </si>
  <si>
    <t xml:space="preserve">Win the 54 missing backers with a neighbourhood post</t>
  </si>
  <si>
    <t xml:space="preserve">Good for you if you live in Dayton</t>
  </si>
  <si>
    <t xml:space="preserve">The mission can't start without 150 backers. One clear post with a real Dayton photo can close the gap.</t>
  </si>
  <si>
    <t xml:space="preserve">1. Write 200 words: what a lead line is, why unknowns matter
2. Use the l4 counts
3. Post in neighbourhood groups
4. Track backers</t>
  </si>
  <si>
    <t xml:space="preserve">Post link and backer count</t>
  </si>
  <si>
    <t xml:space="preserve">Approved by Bill and brings 15 or more backers</t>
  </si>
  <si>
    <t xml:space="preserve">Drafts and tracks</t>
  </si>
  <si>
    <t xml:space="preserve">Speaks as a neighbour</t>
  </si>
  <si>
    <t xml:space="preserve">Neighbourhood groups</t>
  </si>
  <si>
    <t xml:space="preserve">Lead with health fears or with facts?</t>
  </si>
  <si>
    <t xml:space="preserve">Facts and the 5-minute test | Health risk to children | Both, calmly</t>
  </si>
  <si>
    <t xml:space="preserve">l10</t>
  </si>
  <si>
    <t xml:space="preserve">Look up your address in the city's inventory</t>
  </si>
  <si>
    <t xml:space="preserve">Find out whether your line is listed as lead, non-lead or unknown.</t>
  </si>
  <si>
    <t xml:space="preserve">1. Open the city's inventory lookup
2. Enter your address
3. Report only the status and block</t>
  </si>
  <si>
    <t xml:space="preserve">Status and block</t>
  </si>
  <si>
    <t xml:space="preserve">Status recorded</t>
  </si>
  <si>
    <t xml:space="preserve">Agent cross-checks with the inventory file</t>
  </si>
  <si>
    <t xml:space="preserve">Finds the lookup page</t>
  </si>
  <si>
    <t xml:space="preserve">Looks up their own home</t>
  </si>
  <si>
    <t xml:space="preserve">City inventory lookup</t>
  </si>
  <si>
    <t xml:space="preserve">l2</t>
  </si>
  <si>
    <t xml:space="preserve">Photo the pipe where water enters your home</t>
  </si>
  <si>
    <t xml:space="preserve">Only your own home, or with the owner's written OK. Use a magnet and a light coin scratch only, never cut or bend the pipe. Wash your hands afterwards. Watch for wet floors and wiring in the basement.</t>
  </si>
  <si>
    <t xml:space="preserve">Good for you if your Dayton home is 'unknown'</t>
  </si>
  <si>
    <t xml:space="preserve">Your 5-minute check turns an 'unknown' line into a known one.</t>
  </si>
  <si>
    <t xml:space="preserve">1. Find the pipe by the water meter
2. Try a magnet
3. Scratch lightly with a coin
4. Take 2 photos</t>
  </si>
  <si>
    <t xml:space="preserve">2 photos plus magnet result</t>
  </si>
  <si>
    <t xml:space="preserve">A Checker confirms the call</t>
  </si>
  <si>
    <t xml:space="preserve">1 Checker per photo</t>
  </si>
  <si>
    <t xml:space="preserve">Makes a first call</t>
  </si>
  <si>
    <t xml:space="preserve">Does the test</t>
  </si>
  <si>
    <t xml:space="preserve">Magnet, coin, phone</t>
  </si>
  <si>
    <t xml:space="preserve">l6, l10</t>
  </si>
  <si>
    <t xml:space="preserve">l11</t>
  </si>
  <si>
    <t xml:space="preserve">Review 100 pipe photos the agent called</t>
  </si>
  <si>
    <t xml:space="preserve">Good for you if you passed the guide test</t>
  </si>
  <si>
    <t xml:space="preserve">The agent is fast but makes mistakes on painted pipe. Humans decide.</t>
  </si>
  <si>
    <t xml:space="preserve">1. Review each photo and magnet result
2. Agree or overturn
3. Flag hard cases for an Expert</t>
  </si>
  <si>
    <t xml:space="preserve">100 decisions</t>
  </si>
  <si>
    <t xml:space="preserve">A second Checker agrees on 10 of 10 random picks</t>
  </si>
  <si>
    <t xml:space="preserve">Second Checker</t>
  </si>
  <si>
    <t xml:space="preserve">Pre-calls and sorts</t>
  </si>
  <si>
    <t xml:space="preserve">Review queue</t>
  </si>
  <si>
    <t xml:space="preserve">Guide training</t>
  </si>
  <si>
    <t xml:space="preserve">Photo shows a painted pipe and the magnet result is 'not sure'</t>
  </si>
  <si>
    <t xml:space="preserve">Mark 'unknown' | Ask the resident to redo it | Send to an Expert</t>
  </si>
  <si>
    <t xml:space="preserve">l12</t>
  </si>
  <si>
    <t xml:space="preserve">Publish the block-level lead map</t>
  </si>
  <si>
    <t xml:space="preserve">Good for you if you make maps</t>
  </si>
  <si>
    <t xml:space="preserve">One map: lead, non-lead and unknown per block, plus where data is missing.</t>
  </si>
  <si>
    <t xml:space="preserve">1. Join inventory and checked photos by block
2. Apply the privacy floor
3. Build the web map
4. Set a monthly refresh</t>
  </si>
  <si>
    <t xml:space="preserve">Live map and repo</t>
  </si>
  <si>
    <t xml:space="preserve">2 Checkers trace 20 blocks back to source</t>
  </si>
  <si>
    <t xml:space="preserve">Builds the joins and the map</t>
  </si>
  <si>
    <t xml:space="preserve">Checks privacy and clarity</t>
  </si>
  <si>
    <t xml:space="preserve">QGIS, OpenStreetMap, web map</t>
  </si>
  <si>
    <t xml:space="preserve">GIS or web</t>
  </si>
  <si>
    <t xml:space="preserve">l13</t>
  </si>
  <si>
    <t xml:space="preserve">Give public comment at a City Commission meeting</t>
  </si>
  <si>
    <t xml:space="preserve">Public meeting only. Stay non-partisan, stick to the data, follow meeting rules. Go with a second player.</t>
  </si>
  <si>
    <t xml:space="preserve">Good for you if you can speak calmly in public</t>
  </si>
  <si>
    <t xml:space="preserve">Three minutes, the map and one ask: a dated plan with the confirmed lines first.</t>
  </si>
  <si>
    <t xml:space="preserve">1. Sign up for public comment
2. Prepare 3 minutes with 1 map image
3. Speak
4. Post a summary</t>
  </si>
  <si>
    <t xml:space="preserve">Script and meeting minutes link</t>
  </si>
  <si>
    <t xml:space="preserve">Comment is in the public minutes</t>
  </si>
  <si>
    <t xml:space="preserve">1 Checker reads the minutes</t>
  </si>
  <si>
    <t xml:space="preserve">Drafts and times the script</t>
  </si>
  <si>
    <t xml:space="preserve">Speaks</t>
  </si>
  <si>
    <t xml:space="preserve">Public speaking</t>
  </si>
  <si>
    <t xml:space="preserve">l14</t>
  </si>
  <si>
    <t xml:space="preserve">Ask the city for a dated plan for 500 lines</t>
  </si>
  <si>
    <t xml:space="preserve">Good for you if you've worked with a city before</t>
  </si>
  <si>
    <t xml:space="preserve">Formally hand the data to the water department and ask for a dated plan.</t>
  </si>
  <si>
    <t xml:space="preserve">1. Send the data and map
2. Ask for a dated plan
3. Follow up monthly</t>
  </si>
  <si>
    <t xml:space="preserve">Letter and the city's reply</t>
  </si>
  <si>
    <t xml:space="preserve">A dated plan covering 500 or more confirmed lines is published</t>
  </si>
  <si>
    <t xml:space="preserve">2 Checkers read the published plan</t>
  </si>
  <si>
    <t xml:space="preserve">Builds the relationship</t>
  </si>
  <si>
    <t xml:space="preserve">Map, data</t>
  </si>
  <si>
    <t xml:space="preserve">Civic engagement</t>
  </si>
  <si>
    <t xml:space="preserve">l12, l1</t>
  </si>
  <si>
    <t xml:space="preserve">t6</t>
  </si>
  <si>
    <t xml:space="preserve">Map Kenya's Grade 3–5 maths curriculum to skills</t>
  </si>
  <si>
    <t xml:space="preserve">Good for you if you have taught primary maths</t>
  </si>
  <si>
    <t xml:space="preserve">Each country's curriculum had to link to the shared skill list so one app could serve all.</t>
  </si>
  <si>
    <t xml:space="preserve">1. Download the KICD CBC maths designs
2. List each learning outcome
3. Match it to a shared skill ID
4. Flag outcomes with no match</t>
  </si>
  <si>
    <t xml:space="preserve">Mapping sheet (outcome → skill ID)</t>
  </si>
  <si>
    <t xml:space="preserve">Every outcome mapped or flagged</t>
  </si>
  <si>
    <t xml:space="preserve">1 Kenyan teacher Checker</t>
  </si>
  <si>
    <t xml:space="preserve">Extracts outcomes from the PDFs</t>
  </si>
  <si>
    <t xml:space="preserve">Judges matches</t>
  </si>
  <si>
    <t xml:space="preserve">KICD curriculum PDFs, spreadsheet</t>
  </si>
  <si>
    <t xml:space="preserve">Primary maths teaching</t>
  </si>
  <si>
    <t xml:space="preserve">t7</t>
  </si>
  <si>
    <t xml:space="preserve">Check the 10 curriculum maps against source documents</t>
  </si>
  <si>
    <t xml:space="preserve">Good for you if you are careful with detail</t>
  </si>
  <si>
    <t xml:space="preserve">A wrong map means kids practise the wrong thing.</t>
  </si>
  <si>
    <t xml:space="preserve">1. Sample 15 lines per country
2. Compare each to the source
3. Log errors
4. Approve or return</t>
  </si>
  <si>
    <t xml:space="preserve">Check log for 10 countries</t>
  </si>
  <si>
    <t xml:space="preserve">Error rate under 5% per country</t>
  </si>
  <si>
    <t xml:space="preserve">Draws the random sample</t>
  </si>
  <si>
    <t xml:space="preserve">Judges each match</t>
  </si>
  <si>
    <t xml:space="preserve">Mapping sheets</t>
  </si>
  <si>
    <t xml:space="preserve">Curriculum reading</t>
  </si>
  <si>
    <t xml:space="preserve">t5</t>
  </si>
  <si>
    <t xml:space="preserve">Make the app run on $50 phones</t>
  </si>
  <si>
    <t xml:space="preserve">Good for you if you build Android apps</t>
  </si>
  <si>
    <t xml:space="preserve">The whole point is cheap phones with no internet.</t>
  </si>
  <si>
    <t xml:space="preserve">1. Profile memory on a 1 GB phone
2. Swap the hint model for a smaller on-device one
3. Compress images and audio
4. Run a 20-minute session offline</t>
  </si>
  <si>
    <t xml:space="preserve">APK under 150 MB + test video</t>
  </si>
  <si>
    <t xml:space="preserve">No crash on 3 reference phones</t>
  </si>
  <si>
    <t xml:space="preserve">3 Checkers on real phones</t>
  </si>
  <si>
    <t xml:space="preserve">Profiles and suggests cuts</t>
  </si>
  <si>
    <t xml:space="preserve">Android Studio, LiteRT</t>
  </si>
  <si>
    <t xml:space="preserve">Android development</t>
  </si>
  <si>
    <t xml:space="preserve">The hint model still won't fit in 1 GB. What do you cut?</t>
  </si>
  <si>
    <t xml:space="preserve">Use rule-based hints | Drop 1 GB phones | Shrink the model and accept weaker hints</t>
  </si>
  <si>
    <t xml:space="preserve">t4</t>
  </si>
  <si>
    <t xml:space="preserve">Translate the app into Swahili</t>
  </si>
  <si>
    <t xml:space="preserve">Good for you if you speak Swahili</t>
  </si>
  <si>
    <t xml:space="preserve">Kenyan and Tanzanian children learn maths partly in Swahili.</t>
  </si>
  <si>
    <t xml:space="preserve">1. Use the maths glossary
2. Translate the interface and hints
3. Have a teacher read 20 screens
4. Fix the wording</t>
  </si>
  <si>
    <t xml:space="preserve">Swahili string file</t>
  </si>
  <si>
    <t xml:space="preserve">A teacher approves 20 sample screens</t>
  </si>
  <si>
    <t xml:space="preserve">1 Swahili-speaking teacher</t>
  </si>
  <si>
    <t xml:space="preserve">Drafts the strings</t>
  </si>
  <si>
    <t xml:space="preserve">Fixes maths terms</t>
  </si>
  <si>
    <t xml:space="preserve">Translation file</t>
  </si>
  <si>
    <t xml:space="preserve">Native Swahili</t>
  </si>
  <si>
    <t xml:space="preserve">t8</t>
  </si>
  <si>
    <t xml:space="preserve">Collect consent and run the start test in Lagos</t>
  </si>
  <si>
    <t xml:space="preserve">Head teacher present at all times. Never alone with a child. No photos of children. Consent forms stay locked at the school.</t>
  </si>
  <si>
    <t xml:space="preserve">Good for you if you work in or run a school</t>
  </si>
  <si>
    <t xml:space="preserve">No child joins without a parent's written yes.</t>
  </si>
  <si>
    <t xml:space="preserve">1. Meet the head teacher
2. Send consent forms home in English and Yoruba
3. Run the start test with the class teacher
4. Enter scores by child code only</t>
  </si>
  <si>
    <t xml:space="preserve">Consent count + coded score sheet</t>
  </si>
  <si>
    <t xml:space="preserve">All tested children have consent on file</t>
  </si>
  <si>
    <t xml:space="preserve">2 Checkers audit consent counts</t>
  </si>
  <si>
    <t xml:space="preserve">Prepares forms and score sheet</t>
  </si>
  <si>
    <t xml:space="preserve">Talks to parents and teachers</t>
  </si>
  <si>
    <t xml:space="preserve">ODK form, printed tests</t>
  </si>
  <si>
    <t xml:space="preserve">Working in schools</t>
  </si>
  <si>
    <t xml:space="preserve">t5, t4</t>
  </si>
  <si>
    <t xml:space="preserve">A parent agrees by voice but can't sign. What do you do?</t>
  </si>
  <si>
    <t xml:space="preserve">Use a thumbprint with a witness | Leave the child out | Ask the school's usual method</t>
  </si>
  <si>
    <t xml:space="preserve">t13</t>
  </si>
  <si>
    <t xml:space="preserve">Enter and clean end-test scores for 9 countries</t>
  </si>
  <si>
    <t xml:space="preserve">Good for you if you like tidy spreadsheets</t>
  </si>
  <si>
    <t xml:space="preserve">Scores came in on paper and phone forms; they had to be in one clean table.</t>
  </si>
  <si>
    <t xml:space="preserve">1. Merge country files
2. Match child codes start to end
3. Flag missing or odd scores
4. Freeze the table</t>
  </si>
  <si>
    <t xml:space="preserve">Clean scores table (9 countries)</t>
  </si>
  <si>
    <t xml:space="preserve">Every row has start and end scores or a reason</t>
  </si>
  <si>
    <t xml:space="preserve">Checker in t2</t>
  </si>
  <si>
    <t xml:space="preserve">Merges and flags</t>
  </si>
  <si>
    <t xml:space="preserve">Resolves flags with schools</t>
  </si>
  <si>
    <t xml:space="preserve">Spreadsheet, ODK export</t>
  </si>
  <si>
    <t xml:space="preserve">t10</t>
  </si>
  <si>
    <t xml:space="preserve">Check the Kenya end test matches the curriculum</t>
  </si>
  <si>
    <t xml:space="preserve">Good for you if you teach maths in Kenya</t>
  </si>
  <si>
    <t xml:space="preserve">The Kenya test must test what was taught, in clear Swahili and English.</t>
  </si>
  <si>
    <t xml:space="preserve">1. Compare 20 test items to the Kenya skill map
2. Check the wording in both languages
3. Flag any item not taught yet</t>
  </si>
  <si>
    <t xml:space="preserve">Item check list</t>
  </si>
  <si>
    <t xml:space="preserve">All 20 items OK or replaced</t>
  </si>
  <si>
    <t xml:space="preserve">Lines up items with skills</t>
  </si>
  <si>
    <t xml:space="preserve">Judges fit and wording</t>
  </si>
  <si>
    <t xml:space="preserve">Test PDF, t6 map</t>
  </si>
  <si>
    <t xml:space="preserve">Teaching maths in Kenya</t>
  </si>
  <si>
    <t xml:space="preserve">t12</t>
  </si>
  <si>
    <t xml:space="preserve">Schedule the Kenya test day before term ends</t>
  </si>
  <si>
    <t xml:space="preserve">Good for you if you are good at scheduling</t>
  </si>
  <si>
    <t xml:space="preserve">Kenya's term ends soon. Miss it and results wait 2 months.</t>
  </si>
  <si>
    <t xml:space="preserve">1. Confirm dates with both head teachers
2. Book the pilot and comparison classes on the same day
3. Arrange printed tests
4. Share the plan</t>
  </si>
  <si>
    <t xml:space="preserve">Test-day plan</t>
  </si>
  <si>
    <t xml:space="preserve">Both schools confirm in writing</t>
  </si>
  <si>
    <t xml:space="preserve">Drafts messages and a timetable</t>
  </si>
  <si>
    <t xml:space="preserve">Gets confirmations</t>
  </si>
  <si>
    <t xml:space="preserve">Calendar, school contacts</t>
  </si>
  <si>
    <t xml:space="preserve">Organising</t>
  </si>
  <si>
    <t xml:space="preserve">The comparison school can only test a week later. Accept?</t>
  </si>
  <si>
    <t xml:space="preserve">Accept and note it | Push both to the same later day | Find another comparison class</t>
  </si>
  <si>
    <t xml:space="preserve">t1</t>
  </si>
  <si>
    <t xml:space="preserve">Give the 20-minute maths test to one class in Kenya</t>
  </si>
  <si>
    <t xml:space="preserve">Ask the head teacher first. Never alone with a child. Class teacher present the whole time. No photos of children.</t>
  </si>
  <si>
    <t xml:space="preserve">Good for you if you live near Nairobi or Kisumu</t>
  </si>
  <si>
    <t xml:space="preserve">This is the last missing result.</t>
  </si>
  <si>
    <t xml:space="preserve">1. Arrive with printed tests
2. Help the teacher hand out and time 20 minutes
3. Collect papers
4. Enter scores by child code</t>
  </si>
  <si>
    <t xml:space="preserve">Coded scores in the form + photo of the sealed envelope</t>
  </si>
  <si>
    <t xml:space="preserve">Scores entered for every consented child present</t>
  </si>
  <si>
    <t xml:space="preserve">Checker re-scores 10% of papers</t>
  </si>
  <si>
    <t xml:space="preserve">Sets up the form and reminders</t>
  </si>
  <si>
    <t xml:space="preserve">Is there in person</t>
  </si>
  <si>
    <t xml:space="preserve">Printed tests, phone with ODK</t>
  </si>
  <si>
    <t xml:space="preserve">t2</t>
  </si>
  <si>
    <t xml:space="preserve">Check test results from 9 countries</t>
  </si>
  <si>
    <t xml:space="preserve">Good for you if you can read a spreadsheet critically</t>
  </si>
  <si>
    <t xml:space="preserve">Every result is checked before it counts.</t>
  </si>
  <si>
    <t xml:space="preserve">1. Re-score 10% of papers from photos
2. Re-run each country's change from raw data
3. Compare with the comparison classes
4. Log any disagreement</t>
  </si>
  <si>
    <t xml:space="preserve">Check log + recomputed table</t>
  </si>
  <si>
    <t xml:space="preserve">Your numbers match within 1 point or the issue is logged</t>
  </si>
  <si>
    <t xml:space="preserve">Second Checker samples 2 countries</t>
  </si>
  <si>
    <t xml:space="preserve">Recomputes from raw data</t>
  </si>
  <si>
    <t xml:space="preserve">Re-scores papers and judges issues</t>
  </si>
  <si>
    <t xml:space="preserve">Clean table, paper scans</t>
  </si>
  <si>
    <t xml:space="preserve">Basic statistics</t>
  </si>
  <si>
    <t xml:space="preserve">One school's scores jump far more than the others. What do you do?</t>
  </si>
  <si>
    <t xml:space="preserve">Keep and flag | Ask the school for papers | Exclude with a reason</t>
  </si>
  <si>
    <t xml:space="preserve">t16</t>
  </si>
  <si>
    <t xml:space="preserve">Build the results dashboard for 10 countries</t>
  </si>
  <si>
    <t xml:space="preserve">Good for you if you can make simple charts</t>
  </si>
  <si>
    <t xml:space="preserve">Schools and funders need to see each country's change clearly.</t>
  </si>
  <si>
    <t xml:space="preserve">1. Load the checked table
2. Show start vs end per country with sample size
3. Show the comparison class beside it
4. Publish the code</t>
  </si>
  <si>
    <t xml:space="preserve">Dashboard link + repo</t>
  </si>
  <si>
    <t xml:space="preserve">Numbers match the checked table</t>
  </si>
  <si>
    <t xml:space="preserve">Builds the charts</t>
  </si>
  <si>
    <t xml:space="preserve">Checks it reads clearly</t>
  </si>
  <si>
    <t xml:space="preserve">Any open chart tool</t>
  </si>
  <si>
    <t xml:space="preserve">Basic web or data viz</t>
  </si>
  <si>
    <t xml:space="preserve">t14</t>
  </si>
  <si>
    <t xml:space="preserve">Decide how to report countries that miss 10%</t>
  </si>
  <si>
    <t xml:space="preserve">Good for you if you are trusted to make fair calls</t>
  </si>
  <si>
    <t xml:space="preserve">Honest reporting matters more than a clean win.</t>
  </si>
  <si>
    <t xml:space="preserve">1. Read the checked results
2. Write the rule for 'met', 'close' and 'missed'
3. Get 2 Checkers to agree</t>
  </si>
  <si>
    <t xml:space="preserve">One-page reporting rule</t>
  </si>
  <si>
    <t xml:space="preserve">Two Checkers sign it</t>
  </si>
  <si>
    <t xml:space="preserve">Makes the call</t>
  </si>
  <si>
    <t xml:space="preserve">Checked results</t>
  </si>
  <si>
    <t xml:space="preserve">Kenya rises 8%. Is the mission won?</t>
  </si>
  <si>
    <t xml:space="preserve">No; report 9 of 10 | Run a second test next term | Report as 'close'</t>
  </si>
  <si>
    <t xml:space="preserve">t15</t>
  </si>
  <si>
    <t xml:space="preserve">Interview 3 pilot teachers by phone</t>
  </si>
  <si>
    <t xml:space="preserve">Good for you if you like talking to people</t>
  </si>
  <si>
    <t xml:space="preserve">Numbers say if it worked; teachers say why.</t>
  </si>
  <si>
    <t xml:space="preserve">1. Get each teacher's consent to quote
2. Ask 5 set questions
3. Write 150 words each
4. Check with the teacher</t>
  </si>
  <si>
    <t xml:space="preserve">3 approved teacher stories</t>
  </si>
  <si>
    <t xml:space="preserve">Each teacher approves their story</t>
  </si>
  <si>
    <t xml:space="preserve">Transcribes and drafts</t>
  </si>
  <si>
    <t xml:space="preserve">Interviews and edits</t>
  </si>
  <si>
    <t xml:space="preserve">Phone, consent script</t>
  </si>
  <si>
    <t xml:space="preserve">Interviewing</t>
  </si>
  <si>
    <t xml:space="preserve">t11</t>
  </si>
  <si>
    <t xml:space="preserve">Back Chalk Squad</t>
  </si>
  <si>
    <t xml:space="preserve">Good for you if you want to fund the last step</t>
  </si>
  <si>
    <t xml:space="preserve">The last $16,000 pays for the Kenya test, checking and the report.</t>
  </si>
  <si>
    <t xml:space="preserve">Summarises the budget</t>
  </si>
  <si>
    <t xml:space="preserve">t3</t>
  </si>
  <si>
    <t xml:space="preserve">Write the results report</t>
  </si>
  <si>
    <t xml:space="preserve">The report is what schools and funders will read.</t>
  </si>
  <si>
    <t xml:space="preserve">1. Use the checked numbers only
2. State sample sizes and limits
3. Add teacher stories
4. Get sign-off</t>
  </si>
  <si>
    <t xml:space="preserve">Report PDF + plain summary</t>
  </si>
  <si>
    <t xml:space="preserve">Signed off by creator and 2 Checkers</t>
  </si>
  <si>
    <t xml:space="preserve">2 Checkers + outside reviewer</t>
  </si>
  <si>
    <t xml:space="preserve">Drafts from the data</t>
  </si>
  <si>
    <t xml:space="preserve">Dashboard, stories</t>
  </si>
  <si>
    <t xml:space="preserve">t1, t14, t16, t15</t>
  </si>
  <si>
    <t xml:space="preserve">b8</t>
  </si>
  <si>
    <t xml:space="preserve">List all 50 schemes in plain words</t>
  </si>
  <si>
    <t xml:space="preserve">Good for you if you like reading government orders</t>
  </si>
  <si>
    <t xml:space="preserve">Every later step depends on knowing what each scheme gives and who qualifies. This produced the 50 cards the helper and volunteers use.</t>
  </si>
  <si>
    <t xml:space="preserve">1. Pick 50 schemes from myScheme and UP department portals
2. For each, write benefit, eligibility, documents and where to apply
3. Link the official order or portal page
4. Mark which schemes need an income or caste certificate</t>
  </si>
  <si>
    <t xml:space="preserve">Shared sheet with 50 rows and a source link for each</t>
  </si>
  <si>
    <t xml:space="preserve">Every row has all 5 fields and a working official link</t>
  </si>
  <si>
    <t xml:space="preserve">2 Checkers re-check 10 cards against the source</t>
  </si>
  <si>
    <t xml:space="preserve">Pulls scheme rules from the portals and drafts plain-language rows</t>
  </si>
  <si>
    <t xml:space="preserve">Reads the official order and fixes amounts, age limits and wording</t>
  </si>
  <si>
    <t xml:space="preserve">myScheme, sspy-up.gov.in, scholarship.up.gov.in</t>
  </si>
  <si>
    <t xml:space="preserve">Reading government orders, plain Hindi</t>
  </si>
  <si>
    <t xml:space="preserve">b9</t>
  </si>
  <si>
    <t xml:space="preserve">Check 10 scheme cards against the official orders</t>
  </si>
  <si>
    <t xml:space="preserve">Good for you if you spot small mistakes</t>
  </si>
  <si>
    <t xml:space="preserve">One wrong age limit sends a family on a wasted trip. Each card is checked by someone who didn't write it.</t>
  </si>
  <si>
    <t xml:space="preserve">1. Take 10 cards at random
2. Open the linked order or portal
3. Compare benefit, age, income limit and documents
4. Mark each card OK or list the fix</t>
  </si>
  <si>
    <t xml:space="preserve">10 rows marked OK or corrected, with the line from the source</t>
  </si>
  <si>
    <t xml:space="preserve">All 10 cards have a verdict and every fix quotes the source</t>
  </si>
  <si>
    <t xml:space="preserve">Mission creator spot-checks 2</t>
  </si>
  <si>
    <t xml:space="preserve">Finds the current order and highlights differences</t>
  </si>
  <si>
    <t xml:space="preserve">Decides whether a difference is a real error</t>
  </si>
  <si>
    <t xml:space="preserve">Scheme sheet, official portals</t>
  </si>
  <si>
    <t xml:space="preserve">Careful reading</t>
  </si>
  <si>
    <t xml:space="preserve">b10</t>
  </si>
  <si>
    <t xml:space="preserve">Add Awadhi voice-note answers to the helper</t>
  </si>
  <si>
    <t xml:space="preserve">Good for you if you build bots and speak Awadhi</t>
  </si>
  <si>
    <t xml:space="preserve">Many older women in Sitapur speak Awadhi and don't type. Voice notes let them ask and listen.</t>
  </si>
  <si>
    <t xml:space="preserve">1. Get the Awadhi answer pack from a native speaker
2. Record short voice answers of under 45 seconds
3. Wire voice-note input to speech-to-text with a Hindi fallback
4. Test 30 questions with 3 Awadhi speakers</t>
  </si>
  <si>
    <t xml:space="preserve">Helper build with the Awadhi pack, plus a test log of 30 questions</t>
  </si>
  <si>
    <t xml:space="preserve">At least 27 of 30 answers correct and no answer asks for ID numbers</t>
  </si>
  <si>
    <t xml:space="preserve">2 Awadhi-speaking Checkers repeat 10 questions</t>
  </si>
  <si>
    <t xml:space="preserve">Drafts answers from the cards and builds the bot flow</t>
  </si>
  <si>
    <t xml:space="preserve">Records the voice notes and judges whether they sound natural</t>
  </si>
  <si>
    <t xml:space="preserve">WhatsApp Business API, speech-to-text, Bhashini drafts</t>
  </si>
  <si>
    <t xml:space="preserve">Bot building, Awadhi</t>
  </si>
  <si>
    <t xml:space="preserve">b1</t>
  </si>
  <si>
    <t xml:space="preserve">Write the widow pension rules in plain Hindi</t>
  </si>
  <si>
    <t xml:space="preserve">Good for you if you write simple Hindi</t>
  </si>
  <si>
    <t xml:space="preserve">Widow pension is the most asked-about scheme. Families confuse the state pension with the central NSAP pension and don't know about the income certificate.</t>
  </si>
  <si>
    <t xml:space="preserve">1. Read the current UP order and NSAP guidelines
2. Write who qualifies, the monthly amount and how often it's paid
3. List documents: Aadhaar, husband's death certificate, income certificate, bank passbook
4. Write where to apply (sspy-up.gov.in or CSC) and how to check status</t>
  </si>
  <si>
    <t xml:space="preserve">One card of 120 words or less in plain Hindi, with source links</t>
  </si>
  <si>
    <t xml:space="preserve">A Class 8 reader can say who qualifies and what to carry</t>
  </si>
  <si>
    <t xml:space="preserve">2 Checkers compare with the official order; 1 non-expert reads it aloud</t>
  </si>
  <si>
    <t xml:space="preserve">Pulls the latest order and drafts the text</t>
  </si>
  <si>
    <t xml:space="preserve">Simplifies the words and checks amounts with the source</t>
  </si>
  <si>
    <t xml:space="preserve">sspy-up.gov.in, NSAP guidelines</t>
  </si>
  <si>
    <t xml:space="preserve">Plain Hindi, reading government orders</t>
  </si>
  <si>
    <t xml:space="preserve">The state and central widow pensions overlap and the rules on drawing both are unclear. What does the card say?</t>
  </si>
  <si>
    <t xml:space="preserve">Explain only the UP pension families actually apply for | Explain both and say the office decides | Ask the district office in writing first</t>
  </si>
  <si>
    <t xml:space="preserve">b2</t>
  </si>
  <si>
    <t xml:space="preserve">Ask the helper 5 questions in Bhojpuri and report mistakes</t>
  </si>
  <si>
    <t xml:space="preserve">Good for you if you speak Bhojpuri</t>
  </si>
  <si>
    <t xml:space="preserve">The Bhojpuri pack is next. Real speakers catch answers that are technically right but sound wrong or confusing.</t>
  </si>
  <si>
    <t xml:space="preserve">1. Message the test number in Bhojpuri, by text or voice
2. Ask about pension, ration card, scholarship, PM-KISAN and one question of your own
3. Mark each answer clear, confusing or wrong
4. Note any answer that asks for personal numbers</t>
  </si>
  <si>
    <t xml:space="preserve">5 rows: question, answer screenshot, your verdict</t>
  </si>
  <si>
    <t xml:space="preserve">All 5 questions logged with a verdict</t>
  </si>
  <si>
    <t xml:space="preserve">1 Checker replays 2 questions</t>
  </si>
  <si>
    <t xml:space="preserve">Logs the chat and pre-fills the report sheet</t>
  </si>
  <si>
    <t xml:space="preserve">Speaks naturally and judges if the answer makes sense</t>
  </si>
  <si>
    <t xml:space="preserve">WhatsApp, test number</t>
  </si>
  <si>
    <t xml:space="preserve">Native Bhojpuri</t>
  </si>
  <si>
    <t xml:space="preserve">b3</t>
  </si>
  <si>
    <t xml:space="preserve">Teach the helper to answer about scholarships</t>
  </si>
  <si>
    <t xml:space="preserve">Good for you if you can build WhatsApp flows</t>
  </si>
  <si>
    <t xml:space="preserve">UP pre- and post-matric scholarships have income limits, category rules and fixed application windows. Students miss the window more often than they fail the rules.</t>
  </si>
  <si>
    <t xml:space="preserve">1. Load the scholarship cards
2. Add flows for class, category, family income and the current window dates
3. Route 'I don't know my income' to the income certificate flow
4. Test 20 questions in Hindi and Urdu</t>
  </si>
  <si>
    <t xml:space="preserve">Updated flow plus a 20-question test log</t>
  </si>
  <si>
    <t xml:space="preserve">18 of 20 test answers correct; window dates match the portal</t>
  </si>
  <si>
    <t xml:space="preserve">2 Checkers re-run 5 of the 20</t>
  </si>
  <si>
    <t xml:space="preserve">Builds the flow and test cases from the cards</t>
  </si>
  <si>
    <t xml:space="preserve">Checks dates and income limits on the live portal</t>
  </si>
  <si>
    <t xml:space="preserve">scholarship.up.gov.in, bot builder</t>
  </si>
  <si>
    <t xml:space="preserve">Bot building</t>
  </si>
  <si>
    <t xml:space="preserve">A student asks if she qualifies but doesn't know her family income. What does the helper do?</t>
  </si>
  <si>
    <t xml:space="preserve">Say 'probably' and send the form link | Send her to get an income certificate first | Hand her to a volunteer</t>
  </si>
  <si>
    <t xml:space="preserve">b4</t>
  </si>
  <si>
    <t xml:space="preserve">Sit with 3 families near you and check what they're missing</t>
  </si>
  <si>
    <t xml:space="preserve">Go with a local volunteer. Ask before entering a home. Never take anyone's papers, photos of IDs or numbers home.</t>
  </si>
  <si>
    <t xml:space="preserve">Good for you if you live in a UP village and people trust you</t>
  </si>
  <si>
    <t xml:space="preserve">This finds the real gaps: missing certificates, unseeded bank accounts, schemes nobody told them about. It also tests the paper checklist before Stage 3.</t>
  </si>
  <si>
    <t xml:space="preserve">1. Explain who you are and that help is free
2. Go through the paper checklist: who lives here, ages, ration card type, bank account
3. Mark which schemes they may qualify for and which papers are missing
4. Tell them the next step and the nearest CSC</t>
  </si>
  <si>
    <t xml:space="preserve">3 checklists with no names or ID numbers, only a family code and village</t>
  </si>
  <si>
    <t xml:space="preserve">Each checklist has at least one next step written</t>
  </si>
  <si>
    <t xml:space="preserve">1 Checker calls the volunteer to confirm the visit happened</t>
  </si>
  <si>
    <t xml:space="preserve">Prepares the checklist and suggests schemes from your answers</t>
  </si>
  <si>
    <t xml:space="preserve">Sits, listens and builds trust</t>
  </si>
  <si>
    <t xml:space="preserve">Paper checklist, helper on your phone</t>
  </si>
  <si>
    <t xml:space="preserve">Hindi or a local language, patience</t>
  </si>
  <si>
    <t xml:space="preserve">A widow qualifies, but her bank account isn't Aadhaar-seeded. What first?</t>
  </si>
  <si>
    <t xml:space="preserve">Apply now and fix seeding later | Fix seeding at the bank first | Do both the same week</t>
  </si>
  <si>
    <t xml:space="preserve">b5</t>
  </si>
  <si>
    <t xml:space="preserve">Train 5 volunteers in Sitapur</t>
  </si>
  <si>
    <t xml:space="preserve">Meet in a public place like the school or panchayat office, in daylight. Women volunteers can bring a companion.</t>
  </si>
  <si>
    <t xml:space="preserve">Good for you if you've trained people before</t>
  </si>
  <si>
    <t xml:space="preserve">Stage 3 needs about 40 volunteers. Sitapur's first 5 set the pattern for the rest.</t>
  </si>
  <si>
    <t xml:space="preserve">1. Pick 5 trusted people from different villages with the pradhan's knowledge
2. Run a half-day session: schemes, checklist, privacy rules, fees
3. Role-play a family visit
4. Each volunteer does one practice visit within a week</t>
  </si>
  <si>
    <t xml:space="preserve">Attendance sheet, photos of the session (with consent) and 5 practice checklists</t>
  </si>
  <si>
    <t xml:space="preserve">5 volunteers each complete a practice checklist that a Checker marks correct</t>
  </si>
  <si>
    <t xml:space="preserve">2 Checkers review the 5 checklists</t>
  </si>
  <si>
    <t xml:space="preserve">Makes the training plan and the printed handouts</t>
  </si>
  <si>
    <t xml:space="preserve">Chooses people, runs the session and answers hard questions</t>
  </si>
  <si>
    <t xml:space="preserve">Printed cards, checklist, helper</t>
  </si>
  <si>
    <t xml:space="preserve">Training, Awadhi or Hindi</t>
  </si>
  <si>
    <t xml:space="preserve">b8, b1</t>
  </si>
  <si>
    <t xml:space="preserve">b7</t>
  </si>
  <si>
    <t xml:space="preserve">List the NGOs in Sitapur and Banda that help with forms</t>
  </si>
  <si>
    <t xml:space="preserve">Good for you if you're comfortable making phone calls</t>
  </si>
  <si>
    <t xml:space="preserve">Groups already helping families shouldn't be duplicated. A good list tells us where to partner and where to send volunteers.</t>
  </si>
  <si>
    <t xml:space="preserve">1. Search the NGO Darpan portal and district lists
2. Note blocks covered, schemes they help with, and whether they charge
3. Call to confirm they're active
4. Rank 10 to approach</t>
  </si>
  <si>
    <t xml:space="preserve">Sheet of NGOs with blocks, contact, fee yes/no and call notes</t>
  </si>
  <si>
    <t xml:space="preserve">At least 15 groups listed, 10 confirmed active by phone</t>
  </si>
  <si>
    <t xml:space="preserve">1 Checker calls 3 at random</t>
  </si>
  <si>
    <t xml:space="preserve">Searches portals and fills the sheet</t>
  </si>
  <si>
    <t xml:space="preserve">Makes the calls and judges who is real</t>
  </si>
  <si>
    <t xml:space="preserve">NGO Darpan, phone</t>
  </si>
  <si>
    <t xml:space="preserve">Phone manner, Hindi</t>
  </si>
  <si>
    <t xml:space="preserve">An active NGO charges families ₹100 per form. Do we list it?</t>
  </si>
  <si>
    <t xml:space="preserve">List it and flag the fee | Leave it out | List it only if it agrees to stop charging</t>
  </si>
  <si>
    <t xml:space="preserve">b11</t>
  </si>
  <si>
    <t xml:space="preserve">Back Village Volunteers</t>
  </si>
  <si>
    <t xml:space="preserve">Good for you if you want to fund field work</t>
  </si>
  <si>
    <t xml:space="preserve">Volunteers need bus fare, printed checklists and a small stipend to keep going. Backing is the play.</t>
  </si>
  <si>
    <t xml:space="preserve">1. Read the squad's plan and budget
2. Choose an amount
3. Back the squad
4. Follow the monthly update</t>
  </si>
  <si>
    <t xml:space="preserve">Backing is recorded</t>
  </si>
  <si>
    <t xml:space="preserve">Platform records it automatically</t>
  </si>
  <si>
    <t xml:space="preserve">Summarises the squad's spending so far</t>
  </si>
  <si>
    <t xml:space="preserve">b15</t>
  </si>
  <si>
    <t xml:space="preserve">Score 20 Awadhi helper answers against the scheme cards</t>
  </si>
  <si>
    <t xml:space="preserve">Good for you if you speak Awadhi and read carefully</t>
  </si>
  <si>
    <t xml:space="preserve">The Awadhi pack is live. Before Sitapur volunteers rely on it, someone who didn't build it must confirm the answers match the checked cards.</t>
  </si>
  <si>
    <t xml:space="preserve">1. Take 20 logged Awadhi questions at random
2. Compare each answer with its scheme card
3. Mark right, wrong or unclear
4. Flag any answer that asks for Aadhaar, OTP or bank details</t>
  </si>
  <si>
    <t xml:space="preserve">20-row score sheet with the card ID for each answer</t>
  </si>
  <si>
    <t xml:space="preserve">All 20 scored; wrong answers carry the card line that proves it</t>
  </si>
  <si>
    <t xml:space="preserve">A second Checker re-scores 5</t>
  </si>
  <si>
    <t xml:space="preserve">Pulls the logs and matches each answer to its card</t>
  </si>
  <si>
    <t xml:space="preserve">Judges whether the answer is right and clear in Awadhi</t>
  </si>
  <si>
    <t xml:space="preserve">Helper logs, scheme card sheet</t>
  </si>
  <si>
    <t xml:space="preserve">Awadhi or Hindi, careful reading</t>
  </si>
  <si>
    <t xml:space="preserve">b10, b9</t>
  </si>
  <si>
    <t xml:space="preserve">b16</t>
  </si>
  <si>
    <t xml:space="preserve">Record a 60-second voice note inviting volunteers in Banda</t>
  </si>
  <si>
    <t xml:space="preserve">Good for you if you speak Bundeli</t>
  </si>
  <si>
    <t xml:space="preserve">Banda still has no trained volunteers. A short voice note in Bundeli, shared in self-help group chats, reaches people that posters miss.</t>
  </si>
  <si>
    <t xml:space="preserve">1. Use the widow pension card as the example of what volunteers do
2. Write a 60-second script: what, why, that it's free, and the time it takes
3. Record it in Bundeli or simple Hindi
4. Add the sign-up number; no party or leader names</t>
  </si>
  <si>
    <t xml:space="preserve">MP3 voice note plus its script</t>
  </si>
  <si>
    <t xml:space="preserve">Under 70 seconds, says 'help is free', has no party references</t>
  </si>
  <si>
    <t xml:space="preserve">1 Checker listens and checks the script</t>
  </si>
  <si>
    <t xml:space="preserve">Drafts the script from the scheme card</t>
  </si>
  <si>
    <t xml:space="preserve">Speaks it warmly and naturally</t>
  </si>
  <si>
    <t xml:space="preserve">Phone recorder</t>
  </si>
  <si>
    <t xml:space="preserve">Bundeli or Hindi, a clear voice</t>
  </si>
  <si>
    <t xml:space="preserve">b6</t>
  </si>
  <si>
    <t xml:space="preserve">Check 20 forms before they're sent</t>
  </si>
  <si>
    <t xml:space="preserve">Good for you if you know how scheme forms get rejected</t>
  </si>
  <si>
    <t xml:space="preserve">Most rejections come from small errors: a name spelled differently from Aadhaar, a missing certificate, the wrong bank IFSC. Checking the volunteer's checklist before submission saves a wasted cycle.</t>
  </si>
  <si>
    <t xml:space="preserve">1. Open 20 pre-submission checklists (no ID images)
2. Check name match, certificates attached, bank seeded yes/no, scheme fits
3. Send fixes back to the volunteer
4. Mark ready or hold</t>
  </si>
  <si>
    <t xml:space="preserve">20 checklists marked ready or hold, with reasons</t>
  </si>
  <si>
    <t xml:space="preserve">Every hold has a clear fix written</t>
  </si>
  <si>
    <t xml:space="preserve">A second Checker re-checks 4</t>
  </si>
  <si>
    <t xml:space="preserve">Flags likely mismatches against the scheme card</t>
  </si>
  <si>
    <t xml:space="preserve">Makes the ready or hold call</t>
  </si>
  <si>
    <t xml:space="preserve">Checklist sheet, scheme cards</t>
  </si>
  <si>
    <t xml:space="preserve">Scheme rules, attention to detail</t>
  </si>
  <si>
    <t xml:space="preserve">b4, b5, b7</t>
  </si>
  <si>
    <t xml:space="preserve">b12</t>
  </si>
  <si>
    <t xml:space="preserve">Take 5 families to the CSC for income certificates</t>
  </si>
  <si>
    <t xml:space="preserve">Travel together by public transport in daylight. Families hold their own papers and money. Get a printed receipt for every fee.</t>
  </si>
  <si>
    <t xml:space="preserve">Good for you if you're not afraid of offices</t>
  </si>
  <si>
    <t xml:space="preserve">The income certificate is the gate for pensions and scholarships. Going together cuts the fear of the office and stops overcharging.</t>
  </si>
  <si>
    <t xml:space="preserve">1. Confirm each family has Aadhaar, ration card and a self-declaration
2. Go to the CSC together
3. Make sure the e-District application is filed and the fee receipt printed
4. Note each application number on the family's own slip</t>
  </si>
  <si>
    <t xml:space="preserve">5 application numbers (kept by families) and a count of fees paid</t>
  </si>
  <si>
    <t xml:space="preserve">5 e-District applications filed with receipts</t>
  </si>
  <si>
    <t xml:space="preserve">1 Checker confirms 2 numbers on the e-District status page with the family's permission</t>
  </si>
  <si>
    <t xml:space="preserve">Lists the papers each family needs and the nearest CSC hours</t>
  </si>
  <si>
    <t xml:space="preserve">Accompanies the families and speaks up if something's wrong</t>
  </si>
  <si>
    <t xml:space="preserve">e-District UP, CSC</t>
  </si>
  <si>
    <t xml:space="preserve">Local language, confidence with offices</t>
  </si>
  <si>
    <t xml:space="preserve">The CSC operator asks for more than the posted fee. What do you do?</t>
  </si>
  <si>
    <t xml:space="preserve">Pay and report it later | Go to another CSC | Ask for a receipt and refuse the extra</t>
  </si>
  <si>
    <t xml:space="preserve">b13</t>
  </si>
  <si>
    <t xml:space="preserve">Confirm the first payment for 25 families</t>
  </si>
  <si>
    <t xml:space="preserve">Good for you if you understand bank accounts and DBT</t>
  </si>
  <si>
    <t xml:space="preserve">Sanctioned isn't paid. This proves money reached the account and catches DBT failures early.</t>
  </si>
  <si>
    <t xml:space="preserve">1. With each family's consent, check status on the official portal using their registration number
2. Ask for a passbook photo with the account number covered
3. Mark paid, pending or failed
4. For failures, note the reason (not seeded, name mismatch, dormant account)</t>
  </si>
  <si>
    <t xml:space="preserve">25 rows: family code, scheme, status, failure reason</t>
  </si>
  <si>
    <t xml:space="preserve">All 25 have a status; every failure has a reason and a next step</t>
  </si>
  <si>
    <t xml:space="preserve">Mission creator re-checks 3 with the families</t>
  </si>
  <si>
    <t xml:space="preserve">Reads portal status and drafts the next step for each failure</t>
  </si>
  <si>
    <t xml:space="preserve">Talks to families and judges what 'paid' really means</t>
  </si>
  <si>
    <t xml:space="preserve">sspy-up.gov.in, PM-KISAN status, PFMS</t>
  </si>
  <si>
    <t xml:space="preserve">Banking basics, DBT</t>
  </si>
  <si>
    <t xml:space="preserve">b6, b12</t>
  </si>
  <si>
    <t xml:space="preserve">The portal says 'paid' but the family says nothing arrived. How do you count it?</t>
  </si>
  <si>
    <t xml:space="preserve">Count it as paid | Count it as failed and go to the bank | Hold until the passbook is updated</t>
  </si>
  <si>
    <t xml:space="preserve">b14</t>
  </si>
  <si>
    <t xml:space="preserve">Write 5 short stories of families who got paid</t>
  </si>
  <si>
    <t xml:space="preserve">Good for you if you write warmly and respect privacy</t>
  </si>
  <si>
    <t xml:space="preserve">Real stories bring in volunteers and backers and show other families it's worth trying. They must never expose anyone.</t>
  </si>
  <si>
    <t xml:space="preserve">1. Pick 5 families who agreed on record
2. Write what they got, how long it took and what nearly went wrong
3. Use first names or none, and no village if they ask
4. Read the story back to them before publishing</t>
  </si>
  <si>
    <t xml:space="preserve">5 stories of 150 words each with consent notes</t>
  </si>
  <si>
    <t xml:space="preserve">Each story has recorded consent and has been read back</t>
  </si>
  <si>
    <t xml:space="preserve">1 Checker confirms the consent notes</t>
  </si>
  <si>
    <t xml:space="preserve">Drafts from the volunteer's notes</t>
  </si>
  <si>
    <t xml:space="preserve">Gets consent and keeps the family's voice</t>
  </si>
  <si>
    <t xml:space="preserve">Notes, voice recorder</t>
  </si>
  <si>
    <t xml:space="preserve">Plain writing</t>
  </si>
  <si>
    <t xml:space="preserve">k6</t>
  </si>
  <si>
    <t xml:space="preserve">Download all affidavits and log their file hashes</t>
  </si>
  <si>
    <t xml:space="preserve">Good for you if you can write a small download script</t>
  </si>
  <si>
    <t xml:space="preserve">Affidavits can be revised or replaced. A hash proves which exact file each profile was written from.</t>
  </si>
  <si>
    <t xml:space="preserve">1. List the 21 constituencies
2. Download every affidavit from the ECI portal
3. Record file name, page count and SHA-256 hash
4. Store read-only copies</t>
  </si>
  <si>
    <t xml:space="preserve">Folder of PDFs plus a CSV of candidate, constituency, pages and hash</t>
  </si>
  <si>
    <t xml:space="preserve">One row per downloaded file, with a hash that matches on re-download</t>
  </si>
  <si>
    <t xml:space="preserve">1 Checker re-hashes 10 files</t>
  </si>
  <si>
    <t xml:space="preserve">Scripts the downloads and computes the hashes</t>
  </si>
  <si>
    <t xml:space="preserve">Fixes failed downloads and odd files</t>
  </si>
  <si>
    <t xml:space="preserve">affidavit.eci.gov.in, sha256sum</t>
  </si>
  <si>
    <t xml:space="preserve">Basic scripting</t>
  </si>
  <si>
    <t xml:space="preserve">k7</t>
  </si>
  <si>
    <t xml:space="preserve">Match every affidavit to the final candidate list</t>
  </si>
  <si>
    <t xml:space="preserve">Good for you if you're careful with names</t>
  </si>
  <si>
    <t xml:space="preserve">Only candidates still contesting after withdrawals get a profile. Same-name candidates must not be swapped.</t>
  </si>
  <si>
    <t xml:space="preserve">1. Get the Form 7A list for each constituency
2. Match each candidate to one affidavit by name, father's or husband's name and constituency
3. Mark withdrawn or rejected candidates
4. Confirm the total is 310</t>
  </si>
  <si>
    <t xml:space="preserve">Match sheet with Form 7A serial number for each affidavit</t>
  </si>
  <si>
    <t xml:space="preserve">310 one-to-one matches; no unmatched files</t>
  </si>
  <si>
    <t xml:space="preserve">Mission creator checks all same-name pairs</t>
  </si>
  <si>
    <t xml:space="preserve">Fuzzy-matches names and lists doubtful pairs</t>
  </si>
  <si>
    <t xml:space="preserve">Settles the doubtful matches</t>
  </si>
  <si>
    <t xml:space="preserve">Form 7A lists, match sheet</t>
  </si>
  <si>
    <t xml:space="preserve">Care with names in Marathi and English</t>
  </si>
  <si>
    <t xml:space="preserve">A candidate withdrew, but their affidavit is still on the portal. What do you do?</t>
  </si>
  <si>
    <t xml:space="preserve">Exclude them | Keep a hidden draft in case it was an error | Ask the Returning Officer's office</t>
  </si>
  <si>
    <t xml:space="preserve">k5</t>
  </si>
  <si>
    <t xml:space="preserve">Design the profile so it reads well on a phone</t>
  </si>
  <si>
    <t xml:space="preserve">Good for you if you design for small screens</t>
  </si>
  <si>
    <t xml:space="preserve">Most voters will open the profile on a cheap phone, from a WhatsApp link. One screen, big numbers, no clutter.</t>
  </si>
  <si>
    <t xml:space="preserve">1. Lay out the fixed fields: cases, assets, liabilities, education, source pages
2. Use neutral grey, with no party colours
3. Test on a 5-inch screen
4. Make Marathi and English versions</t>
  </si>
  <si>
    <t xml:space="preserve">Template link and screenshots on 2 phones</t>
  </si>
  <si>
    <t xml:space="preserve">All fields fit on one scroll at 5 inches and readers find the cases line in under 10 seconds</t>
  </si>
  <si>
    <t xml:space="preserve">2 Checkers review for neutral design</t>
  </si>
  <si>
    <t xml:space="preserve">Generates layout variants</t>
  </si>
  <si>
    <t xml:space="preserve">Picks the clearest and tests it with real people</t>
  </si>
  <si>
    <t xml:space="preserve">HTML/CSS, phone</t>
  </si>
  <si>
    <t xml:space="preserve">Simple web design</t>
  </si>
  <si>
    <t xml:space="preserve">k13</t>
  </si>
  <si>
    <t xml:space="preserve">Build the OCR pre-fill for profile drafts</t>
  </si>
  <si>
    <t xml:space="preserve">Good for you if you can read Python</t>
  </si>
  <si>
    <t xml:space="preserve">Writers lose hours finding the right page. A rough OCR draft that points to the pages for cases, assets and education speeds them up. Every figure is still typed and checked by a human.</t>
  </si>
  <si>
    <t xml:space="preserve">1. Run Marathi and English OCR on all 310 PDFs
2. Find the case, asset and education tables by their headings
3. Pre-fill the template with page references
4. Mark low-confidence numbers in red</t>
  </si>
  <si>
    <t xml:space="preserve">310 draft profiles with page references and red flags</t>
  </si>
  <si>
    <t xml:space="preserve">On 20 random drafts, page references are right at least 90% of the time</t>
  </si>
  <si>
    <t xml:space="preserve">1 Checker tests 20 drafts against the PDFs</t>
  </si>
  <si>
    <t xml:space="preserve">Runs OCR and finds the tables</t>
  </si>
  <si>
    <t xml:space="preserve">Tunes the pipeline and decides which outputs to trust</t>
  </si>
  <si>
    <t xml:space="preserve">Tesseract (mar+eng), Python</t>
  </si>
  <si>
    <t xml:space="preserve">Python, OCR</t>
  </si>
  <si>
    <t xml:space="preserve">k14</t>
  </si>
  <si>
    <t xml:space="preserve">Collect conflict-of-interest declarations from every player</t>
  </si>
  <si>
    <t xml:space="preserve">Good for you if people trust you to be fair</t>
  </si>
  <si>
    <t xml:space="preserve">Neutrality is the whole value. Anyone with a party role or campaign job must say so and stay off that constituency.</t>
  </si>
  <si>
    <t xml:space="preserve">1. Send a one-line declaration form to every writer and Checker
2. Record any party or campaign link and its constituency
3. Pass the exclusions to the Planner
4. Remind everyone of the no-opinions rule</t>
  </si>
  <si>
    <t xml:space="preserve">Declaration sheet covering every active player</t>
  </si>
  <si>
    <t xml:space="preserve">100% of writers and Checkers have declared</t>
  </si>
  <si>
    <t xml:space="preserve">Mission creator reviews the sheet</t>
  </si>
  <si>
    <t xml:space="preserve">Sends reminders and tracks who has replied</t>
  </si>
  <si>
    <t xml:space="preserve">Has the awkward conversations</t>
  </si>
  <si>
    <t xml:space="preserve">Form, sheet</t>
  </si>
  <si>
    <t xml:space="preserve">Tact</t>
  </si>
  <si>
    <t xml:space="preserve">k15</t>
  </si>
  <si>
    <t xml:space="preserve">Schedule all 21 constituencies to finish by day 8</t>
  </si>
  <si>
    <t xml:space="preserve">Good for you if you love a tidy schedule</t>
  </si>
  <si>
    <t xml:space="preserve">There are 170 profiles left and 12 days to polling. Constituencies have very different candidate counts, so the work has to be balanced.</t>
  </si>
  <si>
    <t xml:space="preserve">1. Count remaining profiles per constituency
2. Assign writers and first Checkers, respecting the conflict-of-interest exclusions
3. Set daily targets
4. Flag shortfalls to the Storyteller for recruiting</t>
  </si>
  <si>
    <t xml:space="preserve">Schedule sheet: constituency, writer, Checker, due date</t>
  </si>
  <si>
    <t xml:space="preserve">Every remaining profile has a writer, a Checker and a date on or before day 8</t>
  </si>
  <si>
    <t xml:space="preserve">Mission creator approves</t>
  </si>
  <si>
    <t xml:space="preserve">Balances the workload automatically</t>
  </si>
  <si>
    <t xml:space="preserve">Adjusts for people's real availability</t>
  </si>
  <si>
    <t xml:space="preserve">Schedule sheet</t>
  </si>
  <si>
    <t xml:space="preserve">k14, k7</t>
  </si>
  <si>
    <t xml:space="preserve">k8</t>
  </si>
  <si>
    <t xml:space="preserve">Write a plain glossary of the 40 commonest sections</t>
  </si>
  <si>
    <t xml:space="preserve">Neutral wording only. Never imply guilt.</t>
  </si>
  <si>
    <t xml:space="preserve">Good for you if you study law</t>
  </si>
  <si>
    <t xml:space="preserve">Affidavits list cases as section numbers under the IPC or the new BNS. Voters need the same plain words for the same section, on every profile.</t>
  </si>
  <si>
    <t xml:space="preserve">1. Pull section numbers from the affidavits
2. Rank the 40 most common
3. Write a neutral plain meaning in English and Marathi, with the IPC↔BNS mapping
4. Get it reviewed by a law student or lawyer</t>
  </si>
  <si>
    <t xml:space="preserve">Glossary sheet: section, law, plain English, plain Marathi</t>
  </si>
  <si>
    <t xml:space="preserve">40 entries, each reviewed by a second legal reader</t>
  </si>
  <si>
    <t xml:space="preserve">1 legal Checker reviews all 40</t>
  </si>
  <si>
    <t xml:space="preserve">Extracts and counts the sections</t>
  </si>
  <si>
    <t xml:space="preserve">Writes the meanings and checks the law</t>
  </si>
  <si>
    <t xml:space="preserve">IPC 1860, BNS 2023 texts</t>
  </si>
  <si>
    <t xml:space="preserve">Criminal law basics</t>
  </si>
  <si>
    <t xml:space="preserve">k1</t>
  </si>
  <si>
    <t xml:space="preserve">Turn 5 affidavits into plain one-page profiles</t>
  </si>
  <si>
    <t xml:space="preserve">Facts only. Same template for every candidate.</t>
  </si>
  <si>
    <t xml:space="preserve">Good for you if you can read an affidavit calmly</t>
  </si>
  <si>
    <t xml:space="preserve">This is the core work: one affidavit becomes one page a voter can read in a minute.</t>
  </si>
  <si>
    <t xml:space="preserve">1. Open the OCR draft and the original PDF side by side
2. Fill cases (using the glossary), assets, liabilities and education
3. Add the page number for every fact
4. Mark empty fields 'Not declared'</t>
  </si>
  <si>
    <t xml:space="preserve">5 completed profiles with page references</t>
  </si>
  <si>
    <t xml:space="preserve">Every field filled or marked, and every fact has a page</t>
  </si>
  <si>
    <t xml:space="preserve">First check by k2's Checker</t>
  </si>
  <si>
    <t xml:space="preserve">Pre-fills from the OCR and adds up asset totals</t>
  </si>
  <si>
    <t xml:space="preserve">Reads the PDF and confirms every number</t>
  </si>
  <si>
    <t xml:space="preserve">Template, glossary, PDFs</t>
  </si>
  <si>
    <t xml:space="preserve">Reading legal documents</t>
  </si>
  <si>
    <t xml:space="preserve">k13, k8, k15</t>
  </si>
  <si>
    <t xml:space="preserve">The education field is blank in the affidavit. What do you write?</t>
  </si>
  <si>
    <t xml:space="preserve">'Not declared' | Leave the field out | Look it up elsewhere</t>
  </si>
  <si>
    <t xml:space="preserve">k2</t>
  </si>
  <si>
    <t xml:space="preserve">Check 10 profiles against the original affidavit</t>
  </si>
  <si>
    <t xml:space="preserve">Good for you if you love finding mistakes</t>
  </si>
  <si>
    <t xml:space="preserve">First check. Every number on the page is traced to the PDF page it cites.</t>
  </si>
  <si>
    <t xml:space="preserve">1. Open each profile and its PDF
2. Check every figure at its cited page
3. Check case wording against the glossary
4. Mark pass or list the fixes</t>
  </si>
  <si>
    <t xml:space="preserve">10 profiles marked pass or fix, with notes</t>
  </si>
  <si>
    <t xml:space="preserve">All 10 have a verdict; every fix cites the page</t>
  </si>
  <si>
    <t xml:space="preserve">Mission creator spot-checks 1</t>
  </si>
  <si>
    <t xml:space="preserve">Highlights numbers that differ from the OCR</t>
  </si>
  <si>
    <t xml:space="preserve">Decides what the PDF really says</t>
  </si>
  <si>
    <t xml:space="preserve">Profiles, PDFs</t>
  </si>
  <si>
    <t xml:space="preserve">Attention to detail</t>
  </si>
  <si>
    <t xml:space="preserve">k3</t>
  </si>
  <si>
    <t xml:space="preserve">Translate 20 profiles into Marathi</t>
  </si>
  <si>
    <t xml:space="preserve">Good for you if Marathi is your first language</t>
  </si>
  <si>
    <t xml:space="preserve">Most Pune voters read Marathi first. The translation must stay exactly as neutral as the English.</t>
  </si>
  <si>
    <t xml:space="preserve">1. Take 20 profiles that passed the first check
2. Translate using the glossary's Marathi terms
3. Keep numbers in the same format
4. Read each one aloud for flow</t>
  </si>
  <si>
    <t xml:space="preserve">20 Marathi profiles</t>
  </si>
  <si>
    <t xml:space="preserve">Numbers and case terms match the English exactly</t>
  </si>
  <si>
    <t xml:space="preserve">1 Marathi Checker reviews 5</t>
  </si>
  <si>
    <t xml:space="preserve">Drafts the translation</t>
  </si>
  <si>
    <t xml:space="preserve">Makes it sound natural and neutral</t>
  </si>
  <si>
    <t xml:space="preserve">Glossary, template</t>
  </si>
  <si>
    <t xml:space="preserve">Fluent Marathi</t>
  </si>
  <si>
    <t xml:space="preserve">k2, k8</t>
  </si>
  <si>
    <t xml:space="preserve">The official Marathi legal term is one most readers won't know. What do you use?</t>
  </si>
  <si>
    <t xml:space="preserve">The official term | Plain words with the official term in brackets | Plain words only</t>
  </si>
  <si>
    <t xml:space="preserve">k9</t>
  </si>
  <si>
    <t xml:space="preserve">Read 3 profiles on your phone and flag confusing lines</t>
  </si>
  <si>
    <t xml:space="preserve">Good for you if you're voting in Pune</t>
  </si>
  <si>
    <t xml:space="preserve">If a first-time voter can't understand a line, it doesn't work. Real readers catch what experts miss.</t>
  </si>
  <si>
    <t xml:space="preserve">1. Open 3 profiles on your phone
2. Read each one in under 2 minutes
3. Mark any line you didn't understand
4. Answer: what are this candidate's cases and assets?</t>
  </si>
  <si>
    <t xml:space="preserve">3 short notes with confusing lines and your answers</t>
  </si>
  <si>
    <t xml:space="preserve">All 3 read, and your answers match the profiles</t>
  </si>
  <si>
    <t xml:space="preserve">1 Checker compares your answers</t>
  </si>
  <si>
    <t xml:space="preserve">Sends you the links and the questions</t>
  </si>
  <si>
    <t xml:space="preserve">Reads as an ordinary voter would</t>
  </si>
  <si>
    <t xml:space="preserve">k3, k5</t>
  </si>
  <si>
    <t xml:space="preserve">k16</t>
  </si>
  <si>
    <t xml:space="preserve">Write a 1-minute call for Marathi Checkers</t>
  </si>
  <si>
    <t xml:space="preserve">No party names, no opinions.</t>
  </si>
  <si>
    <t xml:space="preserve">Good for you if you're in Pune college or alumni groups</t>
  </si>
  <si>
    <t xml:space="preserve">The squad is 4 Checkers and 3 Marathi Experts short. A short, honest call in college and alumni groups can fill those spots fast.</t>
  </si>
  <si>
    <t xml:space="preserve">1. Show a sample profile (with the template, not a real candidate)
2. Explain the task, the time it takes and the pay
3. State the neutrality rule
4. Post it in 5 college or alumni groups</t>
  </si>
  <si>
    <t xml:space="preserve">Message text plus a list of where it was posted</t>
  </si>
  <si>
    <t xml:space="preserve">Posted in 5 groups, with at least 5 sign-ups</t>
  </si>
  <si>
    <t xml:space="preserve">Leader confirms the sign-ups</t>
  </si>
  <si>
    <t xml:space="preserve">Drafts the message</t>
  </si>
  <si>
    <t xml:space="preserve">Posts it in groups where you're a real member</t>
  </si>
  <si>
    <t xml:space="preserve">WhatsApp, Telegram</t>
  </si>
  <si>
    <t xml:space="preserve">Short, clear writing</t>
  </si>
  <si>
    <t xml:space="preserve">k5, k15</t>
  </si>
  <si>
    <t xml:space="preserve">k10</t>
  </si>
  <si>
    <t xml:space="preserve">Back Vote Clear</t>
  </si>
  <si>
    <t xml:space="preserve">Good for you if you want clean elections but have no time</t>
  </si>
  <si>
    <t xml:space="preserve">Legal review and Marathi translation are the biggest costs. Backing is the play. No money from parties or candidates is accepted.</t>
  </si>
  <si>
    <t xml:space="preserve">1. Read the budget
2. Confirm you have no party or candidate role
3. Back the squad
4. Follow the daily count</t>
  </si>
  <si>
    <t xml:space="preserve">Platform records it</t>
  </si>
  <si>
    <t xml:space="preserve">Summarises spending and progress</t>
  </si>
  <si>
    <t xml:space="preserve">Decides how much to back</t>
  </si>
  <si>
    <t xml:space="preserve">k11</t>
  </si>
  <si>
    <t xml:space="preserve">Second-check 15 profiles you didn't write</t>
  </si>
  <si>
    <t xml:space="preserve">Good for you if you can check numbers in two languages</t>
  </si>
  <si>
    <t xml:space="preserve">Two independent checks before anything goes public. You must not have written or first-checked these profiles.</t>
  </si>
  <si>
    <t xml:space="preserve">1. Take 15 profiles assigned to you
2. Trace every fact to its page
3. Check the Marathi matches the English
4. Sign off or send back</t>
  </si>
  <si>
    <t xml:space="preserve">15 sign-offs or fix lists</t>
  </si>
  <si>
    <t xml:space="preserve">All 15 resolved</t>
  </si>
  <si>
    <t xml:space="preserve">Mission creator re-checks 2</t>
  </si>
  <si>
    <t xml:space="preserve">Shows what changed since the first check</t>
  </si>
  <si>
    <t xml:space="preserve">Careful checking, Marathi</t>
  </si>
  <si>
    <t xml:space="preserve">k2, k3</t>
  </si>
  <si>
    <t xml:space="preserve">The affidavit's own asset total doesn't match its line items. What does the profile show?</t>
  </si>
  <si>
    <t xml:space="preserve">The total as declared | Our own sum | As declared, with a note that the items add up differently</t>
  </si>
  <si>
    <t xml:space="preserve">k12</t>
  </si>
  <si>
    <t xml:space="preserve">Handle candidate correction requests within 12 hours</t>
  </si>
  <si>
    <t xml:space="preserve">Keep every exchange in writing. Forward legal notices to the adviser.</t>
  </si>
  <si>
    <t xml:space="preserve">Good for you if you stay calm under pressure</t>
  </si>
  <si>
    <t xml:space="preserve">Any candidate can flag an error. Fixing real errors fast and declining unfounded ones politely protects the mission.</t>
  </si>
  <si>
    <t xml:space="preserve">1. Log each request with time received
2. Compare the claim with the affidavit
3. Fix it, add a dated note, or decline with the page reference
4. Reply within 12 hours</t>
  </si>
  <si>
    <t xml:space="preserve">Corrections log with outcomes</t>
  </si>
  <si>
    <t xml:space="preserve">Every request answered within 12 hours</t>
  </si>
  <si>
    <t xml:space="preserve">2 Checkers review all changes</t>
  </si>
  <si>
    <t xml:space="preserve">Logs requests and pulls the relevant page</t>
  </si>
  <si>
    <t xml:space="preserve">Makes the call and writes the reply</t>
  </si>
  <si>
    <t xml:space="preserve">Corrections log, email</t>
  </si>
  <si>
    <t xml:space="preserve">Calm writing, election law basics</t>
  </si>
  <si>
    <t xml:space="preserve">A candidate shows a court order closing a case after the affidavit was filed. What do you do?</t>
  </si>
  <si>
    <t xml:space="preserve">Keep the affidavit text only | Keep it and add a dated note citing the order | Remove the case</t>
  </si>
  <si>
    <t xml:space="preserve">k4</t>
  </si>
  <si>
    <t xml:space="preserve">Plan how to reach 1 lakh voters by WhatsApp</t>
  </si>
  <si>
    <t xml:space="preserve">No party logos, no opinions.</t>
  </si>
  <si>
    <t xml:space="preserve">Good for you if you know how Pune's WhatsApp groups work</t>
  </si>
  <si>
    <t xml:space="preserve">Reach comes from trusted groups, not ads. The plan has to end on time at the silence period.</t>
  </si>
  <si>
    <t xml:space="preserve">1. Write one neutral message per constituency with its link
2. List housing society, college and community groups by constituency
3. Set a timetable that ends before the silence period
4. Agree how visits are counted</t>
  </si>
  <si>
    <t xml:space="preserve">Reach plan plus 21 message texts</t>
  </si>
  <si>
    <t xml:space="preserve">All 21 constituencies covered and the end time fixed</t>
  </si>
  <si>
    <t xml:space="preserve">2 Checkers check neutrality</t>
  </si>
  <si>
    <t xml:space="preserve">Drafts messages and maps groups</t>
  </si>
  <si>
    <t xml:space="preserve">Chooses which trusted groups to use</t>
  </si>
  <si>
    <t xml:space="preserve">Visit counter, group list</t>
  </si>
  <si>
    <t xml:space="preserve">Community outreach</t>
  </si>
  <si>
    <t xml:space="preserve">A party worker offers to forward the links to 500 groups. Accept?</t>
  </si>
  <si>
    <t xml:space="preserve">Accept | Decline | Accept only if they forward unchanged and without party branding</t>
  </si>
  <si>
    <t xml:space="preserve">p5</t>
  </si>
  <si>
    <t xml:space="preserve">Pick which wards to map first</t>
  </si>
  <si>
    <t xml:space="preserve">Good for you if you like maps</t>
  </si>
  <si>
    <t xml:space="preserve">Starting everywhere means finishing nowhere. 20 wards with many riders and many complaints gave the best start.</t>
  </si>
  <si>
    <t xml:space="preserve">1. List wards with the most past pothole complaints
2. Overlay where players live and ride
3. Pick 20
4. Share the list</t>
  </si>
  <si>
    <t xml:space="preserve">List of 20 wards with reasons</t>
  </si>
  <si>
    <t xml:space="preserve">20 wards chosen and published</t>
  </si>
  <si>
    <t xml:space="preserve">Ranks wards from public data</t>
  </si>
  <si>
    <t xml:space="preserve">Makes the final choice</t>
  </si>
  <si>
    <t xml:space="preserve">Ward boundary files, complaint data</t>
  </si>
  <si>
    <t xml:space="preserve">Maps</t>
  </si>
  <si>
    <t xml:space="preserve">p6</t>
  </si>
  <si>
    <t xml:space="preserve">Build the pin form with photo, GPS and size</t>
  </si>
  <si>
    <t xml:space="preserve">Good for you if you build mobile forms</t>
  </si>
  <si>
    <t xml:space="preserve">Every pin needs the same fields, or dedupe and filing break later.</t>
  </si>
  <si>
    <t xml:space="preserve">1. Photo with GPS and time
2. Size: small (under 30 cm), medium, large (over 1 m) or crater
3. Auto-blur faces and number plates
4. Works offline and syncs later</t>
  </si>
  <si>
    <t xml:space="preserve">Form link and sample export</t>
  </si>
  <si>
    <t xml:space="preserve">10 test pins export cleanly with all fields</t>
  </si>
  <si>
    <t xml:space="preserve">2 Checkers test on Android</t>
  </si>
  <si>
    <t xml:space="preserve">Builds the form and the blur step</t>
  </si>
  <si>
    <t xml:space="preserve">Tests it on the road</t>
  </si>
  <si>
    <t xml:space="preserve">Web form or KoboToolbox, OpenStreetMap</t>
  </si>
  <si>
    <t xml:space="preserve">Web forms</t>
  </si>
  <si>
    <t xml:space="preserve">p1</t>
  </si>
  <si>
    <t xml:space="preserve">Photo and pin 5 potholes on your way home</t>
  </si>
  <si>
    <t xml:space="preserve">Stop safely first. Never take photos in moving traffic. Stay on the footpath or shoulder, and wear a reflective vest after dark.</t>
  </si>
  <si>
    <t xml:space="preserve">Good for you if you ride or walk the same route daily</t>
  </si>
  <si>
    <t xml:space="preserve">Each pin is the start of a repair. Five on a route you already take costs you about 10 minutes.</t>
  </si>
  <si>
    <t xml:space="preserve">1. Pull over somewhere safe
2. Photo the pothole with something for scale (a foot or a bottle)
3. Pin it and choose a size
4. Add a landmark</t>
  </si>
  <si>
    <t xml:space="preserve">5 pins with photos</t>
  </si>
  <si>
    <t xml:space="preserve">5 pins with GPS, photo and size</t>
  </si>
  <si>
    <t xml:space="preserve">Checker dedupes and re-visits 5% at random</t>
  </si>
  <si>
    <t xml:space="preserve">Fills the GPS and suggests the nearest landmark</t>
  </si>
  <si>
    <t xml:space="preserve">Spots, stops safely and photographs</t>
  </si>
  <si>
    <t xml:space="preserve">Phone, pin form</t>
  </si>
  <si>
    <t xml:space="preserve">p2</t>
  </si>
  <si>
    <t xml:space="preserve">Check 50 pins for repeats</t>
  </si>
  <si>
    <t xml:space="preserve">Good for you if you notice small differences</t>
  </si>
  <si>
    <t xml:space="preserve">Duplicates waste city time and make our numbers look padded.</t>
  </si>
  <si>
    <t xml:space="preserve">1. Open 50 pins that the agent flagged as close together
2. Compare photos and landmarks
3. Merge true repeats
4. Reject photos that don't show a pothole</t>
  </si>
  <si>
    <t xml:space="preserve">50 pins marked unique, merged or rejected</t>
  </si>
  <si>
    <t xml:space="preserve">All 50 resolved with a reason</t>
  </si>
  <si>
    <t xml:space="preserve">Clusters pins within 15 m</t>
  </si>
  <si>
    <t xml:space="preserve">Decides from the photos</t>
  </si>
  <si>
    <t xml:space="preserve">Pin map</t>
  </si>
  <si>
    <t xml:space="preserve">A good eye</t>
  </si>
  <si>
    <t xml:space="preserve">Two pins are 12 m apart and the photos look alike. Same pothole?</t>
  </si>
  <si>
    <t xml:space="preserve">Merge them | Keep both | Ask a nearby rider to check</t>
  </si>
  <si>
    <t xml:space="preserve">p8</t>
  </si>
  <si>
    <t xml:space="preserve">Tag 100 pins with who owns the road</t>
  </si>
  <si>
    <t xml:space="preserve">Good for you if you know who digs up which road</t>
  </si>
  <si>
    <t xml:space="preserve">A complaint to the wrong owner just bounces. Main roads, flyovers, metro zones and utility trenches each have a different owner.</t>
  </si>
  <si>
    <t xml:space="preserve">1. Open 100 verified pins
2. Check road type and nearby works (metro, water, power)
3. Tag the owner: corporation, BDA, NHAI, metro works or utility
4. Note the evidence</t>
  </si>
  <si>
    <t xml:space="preserve">100 pins tagged, with evidence</t>
  </si>
  <si>
    <t xml:space="preserve">Every pin has an owner and a reason</t>
  </si>
  <si>
    <t xml:space="preserve">1 Checker re-checks 10</t>
  </si>
  <si>
    <t xml:space="preserve">Suggests the owner from map layers</t>
  </si>
  <si>
    <t xml:space="preserve">Uses local knowledge to confirm</t>
  </si>
  <si>
    <t xml:space="preserve">OpenStreetMap, work-zone notices</t>
  </si>
  <si>
    <t xml:space="preserve">Knowing Bengaluru roads</t>
  </si>
  <si>
    <t xml:space="preserve">A pothole is at the edge of a metro work zone. Who gets the complaint?</t>
  </si>
  <si>
    <t xml:space="preserve">The city corporation | Metro works | Both, saying who should act</t>
  </si>
  <si>
    <t xml:space="preserve">p9</t>
  </si>
  <si>
    <t xml:space="preserve">Re-check 10 random pins in your ward</t>
  </si>
  <si>
    <t xml:space="preserve">Daylight only. Stop safely and stay off the carriageway. Skip any pin on a fast road.</t>
  </si>
  <si>
    <t xml:space="preserve">Good for you if you walk around your ward</t>
  </si>
  <si>
    <t xml:space="preserve">A 5% re-visit keeps the map honest. Someone other than the pinner confirms the pothole is real.</t>
  </si>
  <si>
    <t xml:space="preserve">1. Get 10 random pins near you
2. Visit each one
3. Mark it confirmed, gone, or not a pothole
4. Take a fresh photo</t>
  </si>
  <si>
    <t xml:space="preserve">10 verdicts with photos</t>
  </si>
  <si>
    <t xml:space="preserve">All 10 visited</t>
  </si>
  <si>
    <t xml:space="preserve">Checker compares the photos</t>
  </si>
  <si>
    <t xml:space="preserve">Plans a short route through the 10</t>
  </si>
  <si>
    <t xml:space="preserve">Visits and judges</t>
  </si>
  <si>
    <t xml:space="preserve">p3</t>
  </si>
  <si>
    <t xml:space="preserve">Build the ward scoreboard</t>
  </si>
  <si>
    <t xml:space="preserve">Good for you if you build dashboards</t>
  </si>
  <si>
    <t xml:space="preserve">Wards compare themselves. A public board shows pins, filed and fixed per ward, and later the median days to fix.</t>
  </si>
  <si>
    <t xml:space="preserve">1. Load verified pins
2. Join them to ward boundaries
3. Show pinned, filed and fixed counts plus median days
4. Update weekly</t>
  </si>
  <si>
    <t xml:space="preserve">Public scoreboard link</t>
  </si>
  <si>
    <t xml:space="preserve">Counts match the database for 3 wards checked by hand</t>
  </si>
  <si>
    <t xml:space="preserve">2 Checkers count 3 wards</t>
  </si>
  <si>
    <t xml:space="preserve">Writes the joins and charts</t>
  </si>
  <si>
    <t xml:space="preserve">Chooses what's fair to show</t>
  </si>
  <si>
    <t xml:space="preserve">Ward boundary files, a charting library</t>
  </si>
  <si>
    <t xml:space="preserve">Web, GIS basics</t>
  </si>
  <si>
    <t xml:space="preserve">The new ward maps aren't final. Which boundaries do you use?</t>
  </si>
  <si>
    <t xml:space="preserve">Old 198 wards | New draft maps | Both, with a switch</t>
  </si>
  <si>
    <t xml:space="preserve">p10</t>
  </si>
  <si>
    <t xml:space="preserve">Bring 3 rider groups into the pinning drive</t>
  </si>
  <si>
    <t xml:space="preserve">Good for you if you know delivery riders</t>
  </si>
  <si>
    <t xml:space="preserve">Delivery riders cover more road than anyone. Their community groups can add thousands of pins, if pinning is safe and quick.</t>
  </si>
  <si>
    <t xml:space="preserve">1. Find 3 rider groups that cover the pilot wards
2. Show them the safe-pinning video
3. Agree a weekly pin target
4. Add a group admin as a squad contact</t>
  </si>
  <si>
    <t xml:space="preserve">3 groups with an agreed target and a contact</t>
  </si>
  <si>
    <t xml:space="preserve">Each group submits at least 50 pins in week 1</t>
  </si>
  <si>
    <t xml:space="preserve">Checker confirms the pin counts by source</t>
  </si>
  <si>
    <t xml:space="preserve">Drafts the pitch and tracks pins by group</t>
  </si>
  <si>
    <t xml:space="preserve">Builds trust with the group admins</t>
  </si>
  <si>
    <t xml:space="preserve">WhatsApp, pin map</t>
  </si>
  <si>
    <t xml:space="preserve">Talking to people, Kannada or Hindi</t>
  </si>
  <si>
    <t xml:space="preserve">p12, p11</t>
  </si>
  <si>
    <t xml:space="preserve">p11</t>
  </si>
  <si>
    <t xml:space="preserve">Find the coverage gaps in the 20 wards</t>
  </si>
  <si>
    <t xml:space="preserve">Good for you if you think in maps</t>
  </si>
  <si>
    <t xml:space="preserve">Pins cluster on delivery routes. Residential lanes near schools and hospitals get missed.</t>
  </si>
  <si>
    <t xml:space="preserve">1. Overlay pins on the road network
2. Find roads with no pins and no recent visits
3. Rank gaps near schools and hospitals
4. Hand gap routes to the Leader</t>
  </si>
  <si>
    <t xml:space="preserve">Gap map plus 10 gap routes</t>
  </si>
  <si>
    <t xml:space="preserve">Every pilot ward has its top gap listed</t>
  </si>
  <si>
    <t xml:space="preserve">Mission creator reviews</t>
  </si>
  <si>
    <t xml:space="preserve">Computes uncovered road length</t>
  </si>
  <si>
    <t xml:space="preserve">Decides which gaps matter</t>
  </si>
  <si>
    <t xml:space="preserve">OpenStreetMap, pin data</t>
  </si>
  <si>
    <t xml:space="preserve">p12</t>
  </si>
  <si>
    <t xml:space="preserve">Make a 30-second 'pin it safely' video in Kannada</t>
  </si>
  <si>
    <t xml:space="preserve">Film only while parked. Show the safe way, never the risky one.</t>
  </si>
  <si>
    <t xml:space="preserve">Good for you if you speak Kannada and make short videos</t>
  </si>
  <si>
    <t xml:space="preserve">New riders need to learn in 30 seconds how to pin without risk. Kannada first, then Hindi and Tamil.</t>
  </si>
  <si>
    <t xml:space="preserve">1. Write a 4-line script: stop, step aside, photo, pin
2. Film it parked, with no faces or number plates
3. Add Kannada captions
4. Share it with the Leader</t>
  </si>
  <si>
    <t xml:space="preserve">MP4 video of 30 seconds or less, plus the script</t>
  </si>
  <si>
    <t xml:space="preserve">Under 35 seconds, with no unsafe shots</t>
  </si>
  <si>
    <t xml:space="preserve">2 Checkers review for safety</t>
  </si>
  <si>
    <t xml:space="preserve">Films and voices it</t>
  </si>
  <si>
    <t xml:space="preserve">Kannada, simple video</t>
  </si>
  <si>
    <t xml:space="preserve">p7</t>
  </si>
  <si>
    <t xml:space="preserve">Back Pothole Patrol</t>
  </si>
  <si>
    <t xml:space="preserve">Good for you if you want safer roads but have no time</t>
  </si>
  <si>
    <t xml:space="preserve">Pin rewards and verification visits cost money. Backing is the play.</t>
  </si>
  <si>
    <t xml:space="preserve">1. Read the budget
2. Choose an amount
3. Back the squad
4. Watch the scoreboard</t>
  </si>
  <si>
    <t xml:space="preserve">Summarises spending</t>
  </si>
  <si>
    <t xml:space="preserve">p13</t>
  </si>
  <si>
    <t xml:space="preserve">Draft a complaint for every verified pin</t>
  </si>
  <si>
    <t xml:space="preserve">Good for you if you can automate text</t>
  </si>
  <si>
    <t xml:space="preserve">A good complaint has an exact location, a landmark, the size and a photo. Drafting them all lets a person file one in a minute.</t>
  </si>
  <si>
    <t xml:space="preserve">1. Generate text per pin: location, landmark, size, owner
2. Attach the photo
3. Bundle drafts into batches of 10
4. Send non-city roads to their own channel</t>
  </si>
  <si>
    <t xml:space="preserve">Drafts for all verified pins, in batches</t>
  </si>
  <si>
    <t xml:space="preserve">Every verified pin has a draft, and 10 random drafts read correctly</t>
  </si>
  <si>
    <t xml:space="preserve">1 Checker reads 10</t>
  </si>
  <si>
    <t xml:space="preserve">Writes every draft</t>
  </si>
  <si>
    <t xml:space="preserve">Fixes odd or unclear ones</t>
  </si>
  <si>
    <t xml:space="preserve">Pin database</t>
  </si>
  <si>
    <t xml:space="preserve">Scripting</t>
  </si>
  <si>
    <t xml:space="preserve">p14</t>
  </si>
  <si>
    <t xml:space="preserve">File 10 drafted complaints from your own Sahaaya login</t>
  </si>
  <si>
    <t xml:space="preserve">Good for you if you live in a pilot ward</t>
  </si>
  <si>
    <t xml:space="preserve">Real complaints from real residents. Filing from your own account (with OTP) is what makes them count.</t>
  </si>
  <si>
    <t xml:space="preserve">1. Log in to Sahaaya
2. Paste each draft and attach the photo
3. Copy back the complaint ID
4. Report any that are rejected</t>
  </si>
  <si>
    <t xml:space="preserve">10 complaint IDs</t>
  </si>
  <si>
    <t xml:space="preserve">10 IDs recorded</t>
  </si>
  <si>
    <t xml:space="preserve">Checker looks up 1 ID</t>
  </si>
  <si>
    <t xml:space="preserve">Gives you the drafts one at a time</t>
  </si>
  <si>
    <t xml:space="preserve">Files them and handles the OTP</t>
  </si>
  <si>
    <t xml:space="preserve">Sahaaya app</t>
  </si>
  <si>
    <t xml:space="preserve">A complaint is auto-closed as 'not our jurisdiction'. What next?</t>
  </si>
  <si>
    <t xml:space="preserve">Refile with the owner Expert's note | Send it to the other owner | Call 1533</t>
  </si>
  <si>
    <t xml:space="preserve">p4</t>
  </si>
  <si>
    <t xml:space="preserve">Chase 10 complaints older than 30 days</t>
  </si>
  <si>
    <t xml:space="preserve">Good for you if you're polite but persistent</t>
  </si>
  <si>
    <t xml:space="preserve">Old complaints die quietly. A polite, specific chase to the ward engineer revives them.</t>
  </si>
  <si>
    <t xml:space="preserve">1. Pick 10 from the stale list
2. Email or call the ward engineer with the IDs
3. Log the reply
4. Queue an RTI if there's no reply in 15 days</t>
  </si>
  <si>
    <t xml:space="preserve">Chase log</t>
  </si>
  <si>
    <t xml:space="preserve">All 10 chased and replies logged</t>
  </si>
  <si>
    <t xml:space="preserve">Checker confirms 2</t>
  </si>
  <si>
    <t xml:space="preserve">Drafts the messages</t>
  </si>
  <si>
    <t xml:space="preserve">Makes the calls and stays polite</t>
  </si>
  <si>
    <t xml:space="preserve">Email, phone</t>
  </si>
  <si>
    <t xml:space="preserve">Persistence</t>
  </si>
  <si>
    <t xml:space="preserve">p16</t>
  </si>
  <si>
    <t xml:space="preserve">Present the ward scoreboard at a ward committee meeting</t>
  </si>
  <si>
    <t xml:space="preserve">Public meeting only. Go in pairs. Stay calm, and leave if it turns hostile.</t>
  </si>
  <si>
    <t xml:space="preserve">Good for you if you're comfortable speaking in public</t>
  </si>
  <si>
    <t xml:space="preserve">Numbers shown in person, in a public meeting, move faster than emails.</t>
  </si>
  <si>
    <t xml:space="preserve">1. Print your ward's page
2. Ask for 5 minutes on the agenda
3. Show pinned, filed, fixed and median days
4. Note what officials commit to</t>
  </si>
  <si>
    <t xml:space="preserve">Meeting notes and any commitments</t>
  </si>
  <si>
    <t xml:space="preserve">Presented, with notes uploaded</t>
  </si>
  <si>
    <t xml:space="preserve">Leader confirms</t>
  </si>
  <si>
    <t xml:space="preserve">Prepares the one-page summary</t>
  </si>
  <si>
    <t xml:space="preserve">Presents and listens</t>
  </si>
  <si>
    <t xml:space="preserve">Printout</t>
  </si>
  <si>
    <t xml:space="preserve">Public speaking, Kannada</t>
  </si>
  <si>
    <t xml:space="preserve">p3, p4</t>
  </si>
  <si>
    <t xml:space="preserve">The engineer asks you to drop the 'slowest ward' label. Do you?</t>
  </si>
  <si>
    <t xml:space="preserve">Keep it | Drop the label, keep the numbers | Rank all wards with the same label</t>
  </si>
  <si>
    <t xml:space="preserve">p15</t>
  </si>
  <si>
    <t xml:space="preserve">Verify 20 'closed' complaints are really fixed</t>
  </si>
  <si>
    <t xml:space="preserve">Daylight only. Stop safely and stay off the carriageway.</t>
  </si>
  <si>
    <t xml:space="preserve">Good for you if you're fair and exact</t>
  </si>
  <si>
    <t xml:space="preserve">Closed in the app isn't fixed on the road. Only an after-photo counts.</t>
  </si>
  <si>
    <t xml:space="preserve">1. Visit 20 closed complaints
2. Photo from the same angle as the original
3. Mark fixed, partly fixed, or not fixed
4. Note sunk or crumbling patches</t>
  </si>
  <si>
    <t xml:space="preserve">20 after-photos with verdicts</t>
  </si>
  <si>
    <t xml:space="preserve">All 20 visited</t>
  </si>
  <si>
    <t xml:space="preserve">Road-engineer adviser reviews 5</t>
  </si>
  <si>
    <t xml:space="preserve">Pairs before- and after-photos</t>
  </si>
  <si>
    <t xml:space="preserve">The patch is there but has sunk about 3 cm. Fixed?</t>
  </si>
  <si>
    <t xml:space="preserve">Fixed | Not fixed | Partly fixed, re-check in 30 days</t>
  </si>
  <si>
    <t xml:space="preserve">s5</t>
  </si>
  <si>
    <t xml:space="preserve">Pick 100 schools across 4 districts from UDISE+</t>
  </si>
  <si>
    <t xml:space="preserve">Good for you if you like spreadsheets and fair sampling</t>
  </si>
  <si>
    <t xml:space="preserve">We need a fair spread of schools, not just the ones near a main road. UDISE+ lists every school with its code, enrolment and category.</t>
  </si>
  <si>
    <t xml:space="preserve">1. Download the UDISE+ school list for Patna, Gaya, Muzaffarpur and Purnia
2. Keep government primary and middle schools only
3. Pick 25 per district: 12 rural, 8 semi-urban, 5 urban
4. Add block name and enrolment band
5. Share the sheet for checking</t>
  </si>
  <si>
    <t xml:space="preserve">Google Sheet of 100 schools with UDISE code, block, category, enrolment</t>
  </si>
  <si>
    <t xml:space="preserve">100 rows, no duplicates, 25 per district, every UDISE code resolves on UDISE+</t>
  </si>
  <si>
    <t xml:space="preserve">2 Checkers look up 10 codes at random on UDISE+</t>
  </si>
  <si>
    <t xml:space="preserve">Filters the list, draws the stratified sample, flags duplicates</t>
  </si>
  <si>
    <t xml:space="preserve">Swaps out schools known to be merged or closed</t>
  </si>
  <si>
    <t xml:space="preserve">UDISE+ portal, spreadsheet</t>
  </si>
  <si>
    <t xml:space="preserve">Spreadsheets, basic sampling</t>
  </si>
  <si>
    <t xml:space="preserve">s4</t>
  </si>
  <si>
    <t xml:space="preserve">Write the request letter for 100 schools</t>
  </si>
  <si>
    <t xml:space="preserve">Good for you if you write clear formal Hindi</t>
  </si>
  <si>
    <t xml:space="preserve">One clear Hindi request, reused 100 times, makes replies comparable. Narrow, dated questions are harder to dodge.</t>
  </si>
  <si>
    <t xml:space="preserve">1. List grant heads: composite grant, maintenance, library, sports, free textbooks
2. Ask for amounts received and spent for 2022-23 to 2024-25, with cashbook copies
3. Cite Sec. 6(1) and add the ₹10 fee line
4. Keep it to one page</t>
  </si>
  <si>
    <t xml:space="preserve">One-page Hindi RTI template (.docx and PDF)</t>
  </si>
  <si>
    <t xml:space="preserve">Template names years, grant heads and the documents wanted, and an RTI Expert confirms it is valid</t>
  </si>
  <si>
    <t xml:space="preserve">1 Checker with RTI filing experience</t>
  </si>
  <si>
    <t xml:space="preserve">Drafts the questions from Samagra Shiksha grant heads</t>
  </si>
  <si>
    <t xml:space="preserve">Tunes the Hindi so it reads like a parent, not a lawyer</t>
  </si>
  <si>
    <t xml:space="preserve">Samagra Shiksha framework, RTI Act text</t>
  </si>
  <si>
    <t xml:space="preserve">RTI drafting, Hindi</t>
  </si>
  <si>
    <t xml:space="preserve">s7</t>
  </si>
  <si>
    <t xml:space="preserve">Build the deadline tracker for replies and appeals</t>
  </si>
  <si>
    <t xml:space="preserve">Good for you if you are tidy with spreadsheets and dates</t>
  </si>
  <si>
    <t xml:space="preserve">With 100 requests, each with its own clock, deadlines slip unless one sheet warns you.</t>
  </si>
  <si>
    <t xml:space="preserve">1. Add columns: delivered date, reply due, first appeal due, second appeal due
2. Colour rows by status
3. Send a weekly WhatsApp summary to district owners</t>
  </si>
  <si>
    <t xml:space="preserve">Tracker sheet link + one sample weekly summary</t>
  </si>
  <si>
    <t xml:space="preserve">Dates match the Act (30 / 30 / 90 days) for 10 sample rows</t>
  </si>
  <si>
    <t xml:space="preserve">1 Checker recalculates 10 rows by hand</t>
  </si>
  <si>
    <t xml:space="preserve">Calculates dates and writes the weekly summary</t>
  </si>
  <si>
    <t xml:space="preserve">Decides who owns each overdue row</t>
  </si>
  <si>
    <t xml:space="preserve">Spreadsheets</t>
  </si>
  <si>
    <t xml:space="preserve">s1</t>
  </si>
  <si>
    <t xml:space="preserve">File first appeals to the DEO for 5 late replies</t>
  </si>
  <si>
    <t xml:space="preserve">Go to the district office in office hours, ideally with a partner. Pay no 'fees' that are not on a printed receipt.</t>
  </si>
  <si>
    <t xml:space="preserve">Good for you if you live near a Bihar district office and speak Hindi</t>
  </si>
  <si>
    <t xml:space="preserve">No reply in 30 days counts as a refusal. A first appeal to the senior officer, usually the District Education Officer, restarts pressure and is needed before any second appeal.</t>
  </si>
  <si>
    <t xml:space="preserve">1. Print 5 appeals from the template, each with a copy of the request and postal proof
2. Group them for one district office
3. Hand them in at the receiving desk and get a stamped, dated copy
4. Photograph the stamped copies
5. Update the tracker</t>
  </si>
  <si>
    <t xml:space="preserve">Photos of 5 stamped appeal copies + tracker updated</t>
  </si>
  <si>
    <t xml:space="preserve">5 appeals show an office stamp and date within the 30-day appeal window</t>
  </si>
  <si>
    <t xml:space="preserve">1 Checker matches stamps to tracker dates</t>
  </si>
  <si>
    <t xml:space="preserve">Fills each appeal with the right dates and request number</t>
  </si>
  <si>
    <t xml:space="preserve">Travels, files in person and gets the stamp</t>
  </si>
  <si>
    <t xml:space="preserve">Appeal template, tracker</t>
  </si>
  <si>
    <t xml:space="preserve">RTI appeals, Hindi</t>
  </si>
  <si>
    <t xml:space="preserve">s15, s16</t>
  </si>
  <si>
    <t xml:space="preserve">The clerk says the DEO is on leave and asks you to come back next week.</t>
  </si>
  <si>
    <t xml:space="preserve">Insist on a stamped receipt today | Send all 5 by registered post the same day | Come back next week</t>
  </si>
  <si>
    <t xml:space="preserve">s2</t>
  </si>
  <si>
    <t xml:space="preserve">Read 20 replies and pull out the numbers</t>
  </si>
  <si>
    <t xml:space="preserve">Good for you if you can read Hindi account books</t>
  </si>
  <si>
    <t xml:space="preserve">Replies arrive as scanned cashbooks and PFMS printouts. Coding them the same way makes 100 schools comparable.</t>
  </si>
  <si>
    <t xml:space="preserve">1. Open 20 scanned replies
2. Enter received and spent amounts per grant head and year
3. Mark 'not given' or 'unreadable' where needed
4. Flag replies that answer a different question</t>
  </si>
  <si>
    <t xml:space="preserve">20 coded rows in the replies sheet</t>
  </si>
  <si>
    <t xml:space="preserve">All fields filled or marked; a second Checker agrees on 4 of 5 re-coded rows</t>
  </si>
  <si>
    <t xml:space="preserve">A second Checker re-codes 5 of the 20 at random</t>
  </si>
  <si>
    <t xml:space="preserve">Reads the scans and pre-fills numbers</t>
  </si>
  <si>
    <t xml:space="preserve">Confirms every number against the image</t>
  </si>
  <si>
    <t xml:space="preserve">Replies folder, coding sheet</t>
  </si>
  <si>
    <t xml:space="preserve">Reading Hindi accounts</t>
  </si>
  <si>
    <t xml:space="preserve">A reply gives one total for three years with no split by grant head.</t>
  </si>
  <si>
    <t xml:space="preserve">Code it as a partial answer and appeal | Accept it and split evenly | Mark it incomplete and move on</t>
  </si>
  <si>
    <t xml:space="preserve">s8</t>
  </si>
  <si>
    <t xml:space="preserve">Draft second appeals to the Bihar Information Commission</t>
  </si>
  <si>
    <t xml:space="preserve">Good for you if you have drafted legal appeals</t>
  </si>
  <si>
    <t xml:space="preserve">12 first appeals filed by post have passed 45 days with no order. A second appeal to the State Information Commission is the last step and can bring a penalty on the PIO.</t>
  </si>
  <si>
    <t xml:space="preserve">1. Collect the request, first appeal and postal proofs for each of the 12
2. Write a short timeline for each
3. Ask for the information, free of cost under Sec. 7(6), and for penalty under Sec. 20
4. Check the Commission's filing format
5. Send for Checker review</t>
  </si>
  <si>
    <t xml:space="preserve">12 second-appeal PDFs with annexures</t>
  </si>
  <si>
    <t xml:space="preserve">Each appeal is within 90 days and has all annexures listed</t>
  </si>
  <si>
    <t xml:space="preserve">Law-clinic Expert reviews all 12</t>
  </si>
  <si>
    <t xml:space="preserve">Builds timelines and annexure lists</t>
  </si>
  <si>
    <t xml:space="preserve">Signs and decides which cases to push for penalty</t>
  </si>
  <si>
    <t xml:space="preserve">Bihar SIC filing rules, tracker</t>
  </si>
  <si>
    <t xml:space="preserve">RTI appeals</t>
  </si>
  <si>
    <t xml:space="preserve">Should we ask the Commission for a penalty on the PIO?</t>
  </si>
  <si>
    <t xml:space="preserve">Ask for penalty in all 12 | Ask only where there was no reply at all | Ask for information only</t>
  </si>
  <si>
    <t xml:space="preserve">s9</t>
  </si>
  <si>
    <t xml:space="preserve">Write a one-page Hindi guide to first appeals</t>
  </si>
  <si>
    <t xml:space="preserve">Good for you if you can explain things simply in Hindi</t>
  </si>
  <si>
    <t xml:space="preserve">We need 4 more people in Bihar to file appeals. A clear one-pager makes a new volunteer ready in 15 minutes.</t>
  </si>
  <si>
    <t xml:space="preserve">1. Explain the 30-day rule in two lines
2. Show what to carry and where to go
3. Add a photo of a correct stamped receipt
4. Test it on one new volunteer</t>
  </si>
  <si>
    <t xml:space="preserve">One-page PDF in Hindi + feedback note from the test reader</t>
  </si>
  <si>
    <t xml:space="preserve">Test reader can name the 3 papers to carry without help</t>
  </si>
  <si>
    <t xml:space="preserve">1 Checker reads it against the Act</t>
  </si>
  <si>
    <t xml:space="preserve">Drafts plain Hindi text</t>
  </si>
  <si>
    <t xml:space="preserve">Tests it with a real first-time filer</t>
  </si>
  <si>
    <t xml:space="preserve">RTI Act text</t>
  </si>
  <si>
    <t xml:space="preserve">Plain writing in Hindi</t>
  </si>
  <si>
    <t xml:space="preserve">s14</t>
  </si>
  <si>
    <t xml:space="preserve">s10</t>
  </si>
  <si>
    <t xml:space="preserve">Back School Watch</t>
  </si>
  <si>
    <t xml:space="preserve">Good for you if you want to fund people, not paperwork</t>
  </si>
  <si>
    <t xml:space="preserve">Travel for appeals and hearings is the real cost. Backing pays bus fares to district offices and Patna.</t>
  </si>
  <si>
    <t xml:space="preserve">1. Read the squad plan
2. Pick an amount
3. Back the squad</t>
  </si>
  <si>
    <t xml:space="preserve">Backing is recorded on the squad</t>
  </si>
  <si>
    <t xml:space="preserve">Summarises the plan and spending so far</t>
  </si>
  <si>
    <t xml:space="preserve">Joystick</t>
  </si>
  <si>
    <t xml:space="preserve">s11</t>
  </si>
  <si>
    <t xml:space="preserve">Build the 12-item visit checklist from grant heads</t>
  </si>
  <si>
    <t xml:space="preserve">Good for you if you know how school grants are spent</t>
  </si>
  <si>
    <t xml:space="preserve">Every item checked at a school must link to a grant in the RTI reply. Otherwise we compare apples with oranges.</t>
  </si>
  <si>
    <t xml:space="preserve">1. Map each grant head to visible items: toilets, handwash, library books, ramps, sports kit
2. Write a yes / partly / no rule for each item
3. Add photo instructions without children's faces
4. Pilot at 2 schools</t>
  </si>
  <si>
    <t xml:space="preserve">Checklist PDF + pilot results</t>
  </si>
  <si>
    <t xml:space="preserve">Two visitors at the same pilot school agree on 11 of 12 items</t>
  </si>
  <si>
    <t xml:space="preserve">2 Checkers compare pilot sheets</t>
  </si>
  <si>
    <t xml:space="preserve">Drafts items from the grant norms</t>
  </si>
  <si>
    <t xml:space="preserve">Pilots it at real schools</t>
  </si>
  <si>
    <t xml:space="preserve">Samagra Shiksha norms, UDISE+ facility fields</t>
  </si>
  <si>
    <t xml:space="preserve">Education finance basics</t>
  </si>
  <si>
    <t xml:space="preserve">s2, s17</t>
  </si>
  <si>
    <t xml:space="preserve">s3</t>
  </si>
  <si>
    <t xml:space="preserve">Visit one school and photo the toilets and books</t>
  </si>
  <si>
    <t xml:space="preserve">Go in school hours with a partner and ask the head teacher first. No photos of children. Leave if asked.</t>
  </si>
  <si>
    <t xml:space="preserve">Good for you if you live near one of the 100 schools</t>
  </si>
  <si>
    <t xml:space="preserve">This is where paper meets reality. One careful visit is worth more than ten rushed ones.</t>
  </si>
  <si>
    <t xml:space="preserve">1. Introduce yourself and show the letter
2. Walk the checklist with the head teacher
3. Take timestamped photos of each item
4. Note anything the head teacher explains
5. Upload the same day</t>
  </si>
  <si>
    <t xml:space="preserve">Filled checklist + at least 8 timestamped, location-tagged photos</t>
  </si>
  <si>
    <t xml:space="preserve">All 12 items marked; photo location within 200 m of the school</t>
  </si>
  <si>
    <t xml:space="preserve">1 Checker reviews; 1 in 5 schools re-visited</t>
  </si>
  <si>
    <t xml:space="preserve">Shows the checklist and the school's RTI numbers on the phone</t>
  </si>
  <si>
    <t xml:space="preserve">Visits, talks, observes, photographs</t>
  </si>
  <si>
    <t xml:space="preserve">Phone with camera, checklist</t>
  </si>
  <si>
    <t xml:space="preserve">Polite conversation in Hindi</t>
  </si>
  <si>
    <t xml:space="preserve">The toilet is locked and the head teacher says the key is with the cook, who is away.</t>
  </si>
  <si>
    <t xml:space="preserve">Mark 'locked, not seen' and note the reason | Wait 30 minutes | Come back another day</t>
  </si>
  <si>
    <t xml:space="preserve">s12</t>
  </si>
  <si>
    <t xml:space="preserve">Design the one-page report card for 100 schools</t>
  </si>
  <si>
    <t xml:space="preserve">Good for you if you like simple, clear design</t>
  </si>
  <si>
    <t xml:space="preserve">Parents should see money in, money spent and what was found, in one glance and in Hindi.</t>
  </si>
  <si>
    <t xml:space="preserve">1. Sketch 3 layouts and test with 5 parents
2. Build a template that fills from the sheet
3. Add a box for the school's reply
4. Generate all 100 as PDF and print-ready A4</t>
  </si>
  <si>
    <t xml:space="preserve">Template file + 100 PDFs</t>
  </si>
  <si>
    <t xml:space="preserve">5 parents can say whether their school's toilets match the papers within 1 minute</t>
  </si>
  <si>
    <t xml:space="preserve">2 Checkers compare 10 report cards to source rows</t>
  </si>
  <si>
    <t xml:space="preserve">Fills the template and checks the numbers match</t>
  </si>
  <si>
    <t xml:space="preserve">Tests the design with parents</t>
  </si>
  <si>
    <t xml:space="preserve">Sheet, design tool</t>
  </si>
  <si>
    <t xml:space="preserve">Simple design, Hindi</t>
  </si>
  <si>
    <t xml:space="preserve">s13</t>
  </si>
  <si>
    <t xml:space="preserve">Send each school its draft and log replies</t>
  </si>
  <si>
    <t xml:space="preserve">Good for you if you are calm and fair under pushback</t>
  </si>
  <si>
    <t xml:space="preserve">A fair report gives the school a chance to explain before publication. Gaps often have honest reasons, like late fund release.</t>
  </si>
  <si>
    <t xml:space="preserve">1. Send 100 drafts to head teachers and block offices
2. Start a 15-day clock
3. Add each reply word for word
4. Re-check any finding the reply disputes</t>
  </si>
  <si>
    <t xml:space="preserve">Reply log + updated report cards</t>
  </si>
  <si>
    <t xml:space="preserve">Every report card shows a reply or 'no reply in 15 days'</t>
  </si>
  <si>
    <t xml:space="preserve">Mission creator signs off a 10-card sample</t>
  </si>
  <si>
    <t xml:space="preserve">Sends drafts and tracks the clock</t>
  </si>
  <si>
    <t xml:space="preserve">Judges whether a reply changes a finding</t>
  </si>
  <si>
    <t xml:space="preserve">Email, post, tracker</t>
  </si>
  <si>
    <t xml:space="preserve">Fair judgement</t>
  </si>
  <si>
    <t xml:space="preserve">A head teacher shows a bank statement: the library grant arrived only last month.</t>
  </si>
  <si>
    <t xml:space="preserve">Change the finding to 'arrived late' | Keep the finding and print the reply beside it</t>
  </si>
  <si>
    <t xml:space="preserve">Assign 59 late replies to named district owners</t>
  </si>
  <si>
    <t xml:space="preserve">Good for you if people say yes when you ask</t>
  </si>
  <si>
    <t xml:space="preserve">The squad is stuck because late replies belong to nobody. Every one needs a named person and a date.</t>
  </si>
  <si>
    <t xml:space="preserve">1. Sort the 59 late rows by district
2. Call each district owner and agree a load they can carry
3. Write the owner and target date in the tracker
4. Post the list in the squad chat</t>
  </si>
  <si>
    <t xml:space="preserve">Tracker with owner and date on all 59 rows</t>
  </si>
  <si>
    <t xml:space="preserve">No late row without an owner; no owner with more than 15</t>
  </si>
  <si>
    <t xml:space="preserve">1 Checker counts blank owner cells</t>
  </si>
  <si>
    <t xml:space="preserve">Sorts rows and drafts the call list</t>
  </si>
  <si>
    <t xml:space="preserve">Makes the calls and gets real yeses</t>
  </si>
  <si>
    <t xml:space="preserve">Tracker, phone</t>
  </si>
  <si>
    <t xml:space="preserve">Leading volunteers</t>
  </si>
  <si>
    <t xml:space="preserve">Purnia has 18 late replies and no volunteer.</t>
  </si>
  <si>
    <t xml:space="preserve">Post all 18 appeals by registered post from Patna | Pay a Purnia student for one trip | Wait for a recruit from s9</t>
  </si>
  <si>
    <t xml:space="preserve">s15</t>
  </si>
  <si>
    <t xml:space="preserve">Group late appeals into district office trips</t>
  </si>
  <si>
    <t xml:space="preserve">Good for you if you know Bihar's bus routes</t>
  </si>
  <si>
    <t xml:space="preserve">One trip can file 5 to 10 appeals at the same office. Good grouping halves travel cost.</t>
  </si>
  <si>
    <t xml:space="preserve">1. Group owned rows by appellate office
2. Order trips by earliest appeal deadline
3. Plan each trip with bus times and office hours
4. Share the trip plan with owners</t>
  </si>
  <si>
    <t xml:space="preserve">Trip plan sheet (office, date, appeals, filer)</t>
  </si>
  <si>
    <t xml:space="preserve">Every late appeal is on a trip before its deadline</t>
  </si>
  <si>
    <t xml:space="preserve">1 Checker checks 10 deadlines against trip dates</t>
  </si>
  <si>
    <t xml:space="preserve">Clusters appeals and checks deadlines</t>
  </si>
  <si>
    <t xml:space="preserve">Checks bus routes and office days</t>
  </si>
  <si>
    <t xml:space="preserve">Tracker, maps</t>
  </si>
  <si>
    <t xml:space="preserve">s16</t>
  </si>
  <si>
    <t xml:space="preserve">Make a fill-in first-appeal form from the tracker</t>
  </si>
  <si>
    <t xml:space="preserve">Good for you if you can make a mail-merge work</t>
  </si>
  <si>
    <t xml:space="preserve">Filers should print a ready appeal, not write one by hand at the bus stand.</t>
  </si>
  <si>
    <t xml:space="preserve">1. Build a Hindi appeal template with fields
2. Auto-fill request date, number and PIO from the tracker
3. Attach postal proof as page 2
4. Print-test 3 appeals</t>
  </si>
  <si>
    <t xml:space="preserve">Template + 3 sample filled PDFs</t>
  </si>
  <si>
    <t xml:space="preserve">Sample appeals have correct dates and no empty fields</t>
  </si>
  <si>
    <t xml:space="preserve">Law-clinic Expert reviews the template</t>
  </si>
  <si>
    <t xml:space="preserve">Builds the mail-merge</t>
  </si>
  <si>
    <t xml:space="preserve">Print-tests and fixes layout</t>
  </si>
  <si>
    <t xml:space="preserve">Docs/mail-merge, tracker</t>
  </si>
  <si>
    <t xml:space="preserve">Mail-merge or simple scripting</t>
  </si>
  <si>
    <t xml:space="preserve">s17</t>
  </si>
  <si>
    <t xml:space="preserve">Compare a school's UDISE+ card with what you know</t>
  </si>
  <si>
    <t xml:space="preserve">Good for you if a child you know studies at one of these schools</t>
  </si>
  <si>
    <t xml:space="preserve">Locals already know whether the school toilet works. A quick note flags which schools to visit first.</t>
  </si>
  <si>
    <t xml:space="preserve">1. Find a school from the 100 near you
2. Open its UDISE+ report card
3. Note toilets, library and teachers it claims
4. Say what you have seen yourself, no names</t>
  </si>
  <si>
    <t xml:space="preserve">A short form with 3 yes/no/not sure answers</t>
  </si>
  <si>
    <t xml:space="preserve">Form filled for a school on the list</t>
  </si>
  <si>
    <t xml:space="preserve">Used only as a lead; Checkers verify on visit</t>
  </si>
  <si>
    <t xml:space="preserve">Finds the school's UDISE+ card</t>
  </si>
  <si>
    <t xml:space="preserve">Adds what they really know</t>
  </si>
  <si>
    <t xml:space="preserve">UDISE+ portal</t>
  </si>
  <si>
    <t xml:space="preserve">f4</t>
  </si>
  <si>
    <t xml:space="preserve">Draft the sensor plan for 3 rivers</t>
  </si>
  <si>
    <t xml:space="preserve">Good for you if you have built with an ESP32 or Arduino</t>
  </si>
  <si>
    <t xml:space="preserve">The creator needs one clear plan to approve: what hardware, roughly where, and what it costs.</t>
  </si>
  <si>
    <t xml:space="preserve">1. Pick hardware: ESP32, level sensor, rain gauge, modem, solar
2. Sketch 20 rough sites on OpenStreetMap
3. Cost each part
4. Write a 2-page plan</t>
  </si>
  <si>
    <t xml:space="preserve">2-page plan PDF + parts list sheet</t>
  </si>
  <si>
    <t xml:space="preserve">Plan has sites, parts, costs and a maintenance plan</t>
  </si>
  <si>
    <t xml:space="preserve">Reviewed in f1</t>
  </si>
  <si>
    <t xml:space="preserve">Prices parts and drafts the plan</t>
  </si>
  <si>
    <t xml:space="preserve">Chooses hardware from real experience</t>
  </si>
  <si>
    <t xml:space="preserve">OpenStreetMap, parts suppliers</t>
  </si>
  <si>
    <t xml:space="preserve">Electronics basics</t>
  </si>
  <si>
    <t xml:space="preserve">f5</t>
  </si>
  <si>
    <t xml:space="preserve">Pull 10 years of flood events for each river</t>
  </si>
  <si>
    <t xml:space="preserve">Good for you if you like digging through old reports</t>
  </si>
  <si>
    <t xml:space="preserve">Thresholds and sites depend on where and when floods have happened before.</t>
  </si>
  <si>
    <t xml:space="preserve">1. Read NIHSA flood outlooks for Lagos LGAs
2. Search news archives for flood dates and streets
3. Pull GloFAS history for the Ogun River
4. List events with date, place and depth if known</t>
  </si>
  <si>
    <t xml:space="preserve">Flood events sheet with sources</t>
  </si>
  <si>
    <t xml:space="preserve">At least 20 dated events with a source for each</t>
  </si>
  <si>
    <t xml:space="preserve">1 Checker opens 5 sources at random</t>
  </si>
  <si>
    <t xml:space="preserve">Searches and extracts dates and places</t>
  </si>
  <si>
    <t xml:space="preserve">Judges which reports are reliable</t>
  </si>
  <si>
    <t xml:space="preserve">NIHSA AFO, GloFAS, news archives</t>
  </si>
  <si>
    <t xml:space="preserve">Research</t>
  </si>
  <si>
    <t xml:space="preserve">f1</t>
  </si>
  <si>
    <t xml:space="preserve">Review the sensor plan and site list</t>
  </si>
  <si>
    <t xml:space="preserve">Good for you if you spot what's missing</t>
  </si>
  <si>
    <t xml:space="preserve">The plan waits for an OK. A fresh pair of eyes catches gaps before money is spent on hardware.</t>
  </si>
  <si>
    <t xml:space="preserve">1. Check each site against the flood events sheet
2. Check power, signal and theft risk notes
3. Check the budget adds up
4. Write OK, OK with changes, or send back</t>
  </si>
  <si>
    <t xml:space="preserve">Review note with a verdict and up to 5 changes</t>
  </si>
  <si>
    <t xml:space="preserve">Every site and every budget line has been looked at</t>
  </si>
  <si>
    <t xml:space="preserve">Mission creator reads the review</t>
  </si>
  <si>
    <t xml:space="preserve">Cross-checks sites against flood history</t>
  </si>
  <si>
    <t xml:space="preserve">Plan, flood sheet</t>
  </si>
  <si>
    <t xml:space="preserve">f4, f5</t>
  </si>
  <si>
    <t xml:space="preserve">The plan has no hydrologist sign-off yet.</t>
  </si>
  <si>
    <t xml:space="preserve">OK with a condition: hydrologist before stage 3 | Send back until a hydrologist joins</t>
  </si>
  <si>
    <t xml:space="preserve">f6</t>
  </si>
  <si>
    <t xml:space="preserve">Build and bench-test 2 prototype gauges</t>
  </si>
  <si>
    <t xml:space="preserve">Workshop only. Use eye protection when soldering. Charge lithium batteries on a fire-safe surface.</t>
  </si>
  <si>
    <t xml:space="preserve">Good for you if you can solder and flash firmware</t>
  </si>
  <si>
    <t xml:space="preserve">Before buying 20 sets, prove one design survives heat, rain and a weak 2G signal.</t>
  </si>
  <si>
    <t xml:space="preserve">1. Assemble 2 gauges from the parts list
2. Measure a bucket water level against a ruler for 24 hours
3. Run 72 hours on solar alone
4. Spray-test the enclosure
5. Log data loss</t>
  </si>
  <si>
    <t xml:space="preserve">Test log + photos + firmware link</t>
  </si>
  <si>
    <t xml:space="preserve">Readings within 2 cm of the ruler; no more than 5% missing over 72 hours</t>
  </si>
  <si>
    <t xml:space="preserve">2 Checkers review logs; 1 repeats the bucket test</t>
  </si>
  <si>
    <t xml:space="preserve">Writes and debugs firmware</t>
  </si>
  <si>
    <t xml:space="preserve">Solders, assembles, tests</t>
  </si>
  <si>
    <t xml:space="preserve">ESP32, JSN-SR04T, modem, solar kit</t>
  </si>
  <si>
    <t xml:space="preserve">Soldering, embedded C</t>
  </si>
  <si>
    <t xml:space="preserve">The ultrasonic sensor drifts in heavy rain. A radar sensor costs 3× more.</t>
  </si>
  <si>
    <t xml:space="preserve">Switch to radar on river sites only | Keep ultrasonic and filter readings in software</t>
  </si>
  <si>
    <t xml:space="preserve">f12</t>
  </si>
  <si>
    <t xml:space="preserve">Pick 30 candidate sites from maps and reports</t>
  </si>
  <si>
    <t xml:space="preserve">Good for you if you know Kosofe or Isheri streets</t>
  </si>
  <si>
    <t xml:space="preserve">Shortlist more sites than needed so the field check can drop bad ones.</t>
  </si>
  <si>
    <t xml:space="preserve">1. Overlay flood events and resident pins on OpenStreetMap
2. Pick bridges and walls near hotspots
3. Note phone signal and sun
4. Rank 30 sites</t>
  </si>
  <si>
    <t xml:space="preserve">Map link + ranked site sheet</t>
  </si>
  <si>
    <t xml:space="preserve">30 sites, each with a reason and a backup</t>
  </si>
  <si>
    <t xml:space="preserve">1 Checker checks 10 against the flood sheet</t>
  </si>
  <si>
    <t xml:space="preserve">Overlays layers and ranks sites</t>
  </si>
  <si>
    <t xml:space="preserve">Uses local knowledge to drop bad sites</t>
  </si>
  <si>
    <t xml:space="preserve">OpenStreetMap, uMap</t>
  </si>
  <si>
    <t xml:space="preserve">f5, f11</t>
  </si>
  <si>
    <t xml:space="preserve">f9</t>
  </si>
  <si>
    <t xml:space="preserve">Map who must approve each sensor site</t>
  </si>
  <si>
    <t xml:space="preserve">Good for you if you have dealt with an LGA or LCDA office</t>
  </si>
  <si>
    <t xml:space="preserve">A gauge on a bridge, a private wall or a drainage channel each needs a different OK. Missing one gets sensors removed.</t>
  </si>
  <si>
    <t xml:space="preserve">1. Classify each candidate site: public bridge, private wall, drainage channel
2. List the body or person who must agree
3. Draft a one-page consent letter</t>
  </si>
  <si>
    <t xml:space="preserve">Approval matrix + consent letter template</t>
  </si>
  <si>
    <t xml:space="preserve">Every candidate site has a named approver type</t>
  </si>
  <si>
    <t xml:space="preserve">1 Checker with Lagos admin knowledge</t>
  </si>
  <si>
    <t xml:space="preserve">Drafts the matrix and letter</t>
  </si>
  <si>
    <t xml:space="preserve">Checks how approvals really work locally</t>
  </si>
  <si>
    <t xml:space="preserve">Site sheet</t>
  </si>
  <si>
    <t xml:space="preserve">Lagos local government know-how</t>
  </si>
  <si>
    <t xml:space="preserve">f7</t>
  </si>
  <si>
    <t xml:space="preserve">Meet 3 community associations to agree sensor hosts</t>
  </si>
  <si>
    <t xml:space="preserve">Meet at the CDA hall in daylight, with a partner. Stay away from the riverbank.</t>
  </si>
  <si>
    <t xml:space="preserve">Good for you if you speak Yoruba and know CDA chairs</t>
  </si>
  <si>
    <t xml:space="preserve">Sensors survive when the community wants them. CDA chairs decide who hosts, and who keeps an eye on the gauges.</t>
  </si>
  <si>
    <t xml:space="preserve">1. Book 3 CDA meetings
2. Show a prototype and the alert text
3. Ask which sites they accept
4. Get signed host letters</t>
  </si>
  <si>
    <t xml:space="preserve">3 meeting notes + signed host letters</t>
  </si>
  <si>
    <t xml:space="preserve">At least 15 sites have signed host OK</t>
  </si>
  <si>
    <t xml:space="preserve">1 Checker calls 3 signatories</t>
  </si>
  <si>
    <t xml:space="preserve">Prepares slides in Yoruba and English</t>
  </si>
  <si>
    <t xml:space="preserve">Leads the meetings and earns trust</t>
  </si>
  <si>
    <t xml:space="preserve">Consent letter, prototype</t>
  </si>
  <si>
    <t xml:space="preserve">Public speaking, Yoruba</t>
  </si>
  <si>
    <t xml:space="preserve">A CDA chair wants sensors only on his own street.</t>
  </si>
  <si>
    <t xml:space="preserve">Accept 1 site there and explain the rest | Move to a different CDA</t>
  </si>
  <si>
    <t xml:space="preserve">f2</t>
  </si>
  <si>
    <t xml:space="preserve">Find 20 safe spots for sensors on the river</t>
  </si>
  <si>
    <t xml:space="preserve">Never go near the river when it's high or after rain. Two people, daylight, and stay off slippery banks.</t>
  </si>
  <si>
    <t xml:space="preserve">Good for you if you live near the Ogun River</t>
  </si>
  <si>
    <t xml:space="preserve">Each site must be above the record flood line, in sun, with phone signal, and hard to steal from.</t>
  </si>
  <si>
    <t xml:space="preserve">1. Visit the shortlisted sites
2. Check signal bars and shade
3. Mark the old flood line with residents
4. Photograph mounting points
5. Pick the final 20</t>
  </si>
  <si>
    <t xml:space="preserve">Site sheet with GPS, photos, signal reading</t>
  </si>
  <si>
    <t xml:space="preserve">20 sites, each with host OK and a photo of the mounting point</t>
  </si>
  <si>
    <t xml:space="preserve">1 Checker re-visits 4 sites</t>
  </si>
  <si>
    <t xml:space="preserve">Routes the visits and fills the sheet</t>
  </si>
  <si>
    <t xml:space="preserve">Judges each site in person</t>
  </si>
  <si>
    <t xml:space="preserve">Phone GPS, signal app</t>
  </si>
  <si>
    <t xml:space="preserve">Fieldwork</t>
  </si>
  <si>
    <t xml:space="preserve">f10</t>
  </si>
  <si>
    <t xml:space="preserve">Collect 10 residents' flood stories by voice note</t>
  </si>
  <si>
    <t xml:space="preserve">Good for you if people open up to you</t>
  </si>
  <si>
    <t xml:space="preserve">Stories tell us when the water comes and how people heard. They also win sign-ups later.</t>
  </si>
  <si>
    <t xml:space="preserve">1. Ask residents for a 2-minute WhatsApp voice note
2. Ask: when, how high, how did you hear
3. Get consent to quote without names
4. Summarise in English</t>
  </si>
  <si>
    <t xml:space="preserve">10 summaries + consent log</t>
  </si>
  <si>
    <t xml:space="preserve">10 stories with date and street</t>
  </si>
  <si>
    <t xml:space="preserve">1 Checker samples 3 recordings</t>
  </si>
  <si>
    <t xml:space="preserve">Transcribes and translates</t>
  </si>
  <si>
    <t xml:space="preserve">Asks, listens, gets consent</t>
  </si>
  <si>
    <t xml:space="preserve">WhatsApp</t>
  </si>
  <si>
    <t xml:space="preserve">Yoruba or Pidgin</t>
  </si>
  <si>
    <t xml:space="preserve">f11</t>
  </si>
  <si>
    <t xml:space="preserve">Mark where your street floods first</t>
  </si>
  <si>
    <t xml:space="preserve">Good for you if your street floods</t>
  </si>
  <si>
    <t xml:space="preserve">You know where water collects first. That pin helps place sensors.</t>
  </si>
  <si>
    <t xml:space="preserve">1. Open the map link
2. Drop a pin where water comes first
3. Add how deep it got last time</t>
  </si>
  <si>
    <t xml:space="preserve">One map pin with a note</t>
  </si>
  <si>
    <t xml:space="preserve">Pin inside the mission area with a depth note</t>
  </si>
  <si>
    <t xml:space="preserve">Used as a lead; Planner checks</t>
  </si>
  <si>
    <t xml:space="preserve">Opens the map at your area</t>
  </si>
  <si>
    <t xml:space="preserve">Remembers and marks the spot</t>
  </si>
  <si>
    <t xml:space="preserve">uMap</t>
  </si>
  <si>
    <t xml:space="preserve">f8</t>
  </si>
  <si>
    <t xml:space="preserve">Back Flood Watch</t>
  </si>
  <si>
    <t xml:space="preserve">Good for you if you want hardware in the ground before the rains</t>
  </si>
  <si>
    <t xml:space="preserve">Hardware must be bought and installed before the April rains. Backing now makes that possible.</t>
  </si>
  <si>
    <t xml:space="preserve">1. Read the plan
2. Pick an amount
3. Back the squad</t>
  </si>
  <si>
    <t xml:space="preserve">Summarises the plan and costs</t>
  </si>
  <si>
    <t xml:space="preserve">f3</t>
  </si>
  <si>
    <t xml:space="preserve">Write the alert text in Yoruba, Pidgin and English</t>
  </si>
  <si>
    <t xml:space="preserve">Good for you if you write Yoruba or Pidgin well</t>
  </si>
  <si>
    <t xml:space="preserve">An alert must fit one SMS (160 characters, or fewer with Yoruba tone marks) and say what to do.</t>
  </si>
  <si>
    <t xml:space="preserve">1. Write 3 levels: watch, warning, move now
2. Translate into Yoruba and Pidgin
3. Keep each under one SMS
4. Test with 5 residents for meaning</t>
  </si>
  <si>
    <t xml:space="preserve">9 messages (3 levels × 3 languages) + test notes</t>
  </si>
  <si>
    <t xml:space="preserve">5 residents correctly say what to do for each level</t>
  </si>
  <si>
    <t xml:space="preserve">1 Checker fluent in Yoruba</t>
  </si>
  <si>
    <t xml:space="preserve">Drafts and counts characters</t>
  </si>
  <si>
    <t xml:space="preserve">Makes it sound natural</t>
  </si>
  <si>
    <t xml:space="preserve">SMS character counter</t>
  </si>
  <si>
    <t xml:space="preserve">Yoruba and Pidgin</t>
  </si>
  <si>
    <t xml:space="preserve">Tone marks push the Yoruba text into a 70-character Unicode SMS.</t>
  </si>
  <si>
    <t xml:space="preserve">Drop tone marks | Split into 2 messages | Shorten the text</t>
  </si>
  <si>
    <t xml:space="preserve">f13</t>
  </si>
  <si>
    <t xml:space="preserve">Wire thresholds to the SMS short code</t>
  </si>
  <si>
    <t xml:space="preserve">Good for you if you can build a small web service</t>
  </si>
  <si>
    <t xml:space="preserve">Readings must turn into the right message, to the right phones, within minutes.</t>
  </si>
  <si>
    <t xml:space="preserve">1. Set per-site thresholds and rate-of-rise rules
2. Build opt-in by keyword (e.g. FLOOD YOR)
3. Format alerts as CAP
4. Send 200 test SMS and time delivery</t>
  </si>
  <si>
    <t xml:space="preserve">Repo link + delivery-time log</t>
  </si>
  <si>
    <t xml:space="preserve">95% of 200 test messages delivered within 5 minutes</t>
  </si>
  <si>
    <t xml:space="preserve">2 Checkers time 20 messages on their own phones</t>
  </si>
  <si>
    <t xml:space="preserve">Writes the rules engine and tests</t>
  </si>
  <si>
    <t xml:space="preserve">Sets thresholds with the hydrologist</t>
  </si>
  <si>
    <t xml:space="preserve">SMS aggregator API, CAP 1.2</t>
  </si>
  <si>
    <t xml:space="preserve">Python or Node</t>
  </si>
  <si>
    <t xml:space="preserve">f2, f3</t>
  </si>
  <si>
    <t xml:space="preserve">f14</t>
  </si>
  <si>
    <t xml:space="preserve">Compare alert times with 5 real flood events</t>
  </si>
  <si>
    <t xml:space="preserve">Good for you if you trust numbers over stories</t>
  </si>
  <si>
    <t xml:space="preserve">This proves or disproves the 2-hour promise.</t>
  </si>
  <si>
    <t xml:space="preserve">1. Collect resident photos of the street mark with timestamps
2. Pull alert send times
3. Compute lead time per event
4. Flag misses and false alarms</t>
  </si>
  <si>
    <t xml:space="preserve">Lead-time table + verdict</t>
  </si>
  <si>
    <t xml:space="preserve">5 events analysed with photo evidence</t>
  </si>
  <si>
    <t xml:space="preserve">Hydrology Expert re-computes 2 events</t>
  </si>
  <si>
    <t xml:space="preserve">Matches photos to alerts</t>
  </si>
  <si>
    <t xml:space="preserve">Judges doubtful timestamps</t>
  </si>
  <si>
    <t xml:space="preserve">Sensor data, photos</t>
  </si>
  <si>
    <t xml:space="preserve">Data checking</t>
  </si>
  <si>
    <t xml:space="preserve">f15</t>
  </si>
  <si>
    <t xml:space="preserve">Sign the handover with the CDA and LCDA</t>
  </si>
  <si>
    <t xml:space="preserve">Meet at a public office in daylight. Never hand over cash; use the joint account.</t>
  </si>
  <si>
    <t xml:space="preserve">Good for you if officials take your calls</t>
  </si>
  <si>
    <t xml:space="preserve">The mission only lasts if someone local owns the costs and repairs.</t>
  </si>
  <si>
    <t xml:space="preserve">1. Agree who pays SIMs and SMS after 12 months
2. Name 2 technicians
3. Open the joint account with the 12-month reserve
4. Sign</t>
  </si>
  <si>
    <t xml:space="preserve">Signed agreement scan + account proof</t>
  </si>
  <si>
    <t xml:space="preserve">Both bodies have signed; reserve deposited</t>
  </si>
  <si>
    <t xml:space="preserve">Drafts the agreement</t>
  </si>
  <si>
    <t xml:space="preserve">Negotiates and signs</t>
  </si>
  <si>
    <t xml:space="preserve">Agreement template</t>
  </si>
  <si>
    <t xml:space="preserve">The LCDA will sign but won't commit money.</t>
  </si>
  <si>
    <t xml:space="preserve">Sign with CDA paying, LCDA hosting | Delay until the next budget cycle</t>
  </si>
  <si>
    <t xml:space="preserve">n5</t>
  </si>
  <si>
    <t xml:space="preserve">Rank the 10 most common renter problems</t>
  </si>
  <si>
    <t xml:space="preserve">Good for you if you like sorting messy input</t>
  </si>
  <si>
    <t xml:space="preserve">We write letters for the problems renters actually have, not the ones we guess.</t>
  </si>
  <si>
    <t xml:space="preserve">1. Collect 50 problems from renters (n3)
2. Group them
3. Check against 311 complaint categories
4. Rank by how often and how harmful</t>
  </si>
  <si>
    <t xml:space="preserve">Ranked list of 10 with counts</t>
  </si>
  <si>
    <t xml:space="preserve">10 problems, each with at least 3 real cases</t>
  </si>
  <si>
    <t xml:space="preserve">1 Checker re-groups 10 cases</t>
  </si>
  <si>
    <t xml:space="preserve">Clusters problem stories</t>
  </si>
  <si>
    <t xml:space="preserve">Judges harm and urgency</t>
  </si>
  <si>
    <t xml:space="preserve">Survey sheet, Atlanta 311 categories</t>
  </si>
  <si>
    <t xml:space="preserve">Sorting and judgement</t>
  </si>
  <si>
    <t xml:space="preserve">n4</t>
  </si>
  <si>
    <t xml:space="preserve">Write a letter asking for repairs</t>
  </si>
  <si>
    <t xml:space="preserve">Good for you if you write firm, polite letters</t>
  </si>
  <si>
    <t xml:space="preserve">The most common problem. A dated written request is the evidence a tenant needs later.</t>
  </si>
  <si>
    <t xml:space="preserve">1. Cite O.C.G.A. § 44-7-13
2. Leave boxes for the problem, the date first reported and a reasonable fix date
3. Advise sending by certified mail and keeping a copy
4. Keep it under one page</t>
  </si>
  <si>
    <t xml:space="preserve">Letter draft (.docx)</t>
  </si>
  <si>
    <t xml:space="preserve">One page, correct citation, 3 fill-in boxes</t>
  </si>
  <si>
    <t xml:space="preserve">Lawyer Checker in n2</t>
  </si>
  <si>
    <t xml:space="preserve">Drafts from the statute</t>
  </si>
  <si>
    <t xml:space="preserve">Makes it sound like a tenant</t>
  </si>
  <si>
    <t xml:space="preserve">O.C.G.A. text, DCA handbook</t>
  </si>
  <si>
    <t xml:space="preserve">Plain legal writing</t>
  </si>
  <si>
    <t xml:space="preserve">n6</t>
  </si>
  <si>
    <t xml:space="preserve">Write the move-in damage list request</t>
  </si>
  <si>
    <t xml:space="preserve">Good for you if you've just moved in somewhere</t>
  </si>
  <si>
    <t xml:space="preserve">Under § 44-7-33 the landlord must give a list of existing damage at move-in. Having it protects the deposit later.</t>
  </si>
  <si>
    <t xml:space="preserve">1. Cite § 44-7-33
2. Ask for the list and a chance to add to it
3. Remind the tenant to date-photograph everything</t>
  </si>
  <si>
    <t xml:space="preserve">One page, correct citation</t>
  </si>
  <si>
    <t xml:space="preserve">Drafts</t>
  </si>
  <si>
    <t xml:space="preserve">Edits tone</t>
  </si>
  <si>
    <t xml:space="preserve">O.C.G.A. text</t>
  </si>
  <si>
    <t xml:space="preserve">n1</t>
  </si>
  <si>
    <t xml:space="preserve">Write a letter asking for your deposit back</t>
  </si>
  <si>
    <t xml:space="preserve">Good for you if you've chased a deposit before</t>
  </si>
  <si>
    <t xml:space="preserve">Landlords have 30 days to return the deposit or send an itemised list. This letter gives the forwarding address and the date.</t>
  </si>
  <si>
    <t xml:space="preserve">1. Cite §§ 44-7-34 and 44-7-35
2. Boxes: move-out date, forwarding address, deposit amount
3. Mention the small-landlord exemption in the instructions, not the letter
4. Keep it under one page</t>
  </si>
  <si>
    <t xml:space="preserve">Letter draft (.docx) + one-line instructions</t>
  </si>
  <si>
    <t xml:space="preserve">Correct citations and dates; under one page</t>
  </si>
  <si>
    <t xml:space="preserve">Lawyer Checker</t>
  </si>
  <si>
    <t xml:space="preserve">Decides how firm to be</t>
  </si>
  <si>
    <t xml:space="preserve">Should the letter mention the 3× penalty?</t>
  </si>
  <si>
    <t xml:space="preserve">Mention it calmly as the law | Leave it out of the first letter and use it in a second one</t>
  </si>
  <si>
    <t xml:space="preserve">n7</t>
  </si>
  <si>
    <t xml:space="preserve">Write a payment-plan reply to a 3-day notice</t>
  </si>
  <si>
    <t xml:space="preserve">Good for you if you know Georgia eviction steps</t>
  </si>
  <si>
    <t xml:space="preserve">Since the 2024 Safe at Home Act, a landlord must give 3 business days' notice before filing for non-payment. A quick written offer can head off a filing.</t>
  </si>
  <si>
    <t xml:space="preserve">1. Explain the notice rule in the instructions
2. Draft an offer: amount now, plan for the rest
3. Add a line asking for a ledger of what is owed
4. Add a red box: 'Got court papers? You have 7 days. Call legal aid.'</t>
  </si>
  <si>
    <t xml:space="preserve">Letter draft + instructions</t>
  </si>
  <si>
    <t xml:space="preserve">Lawyer Checker confirms timing and wording are safe</t>
  </si>
  <si>
    <t xml:space="preserve">Drafts and checks the HB 404 text</t>
  </si>
  <si>
    <t xml:space="preserve">Makes the offer sound realistic</t>
  </si>
  <si>
    <t xml:space="preserve">HB 404 text</t>
  </si>
  <si>
    <t xml:space="preserve">Georgia landlord-tenant law</t>
  </si>
  <si>
    <t xml:space="preserve">Should the letter suggest a specific payment plan, or leave it blank?</t>
  </si>
  <si>
    <t xml:space="preserve">Pre-fill a 50% now / rest in 2 weeks example | Leave blank with guidance</t>
  </si>
  <si>
    <t xml:space="preserve">n11</t>
  </si>
  <si>
    <t xml:space="preserve">Map each letter to the right moment and deadline</t>
  </si>
  <si>
    <t xml:space="preserve">Good for you if you like flowcharts</t>
  </si>
  <si>
    <t xml:space="preserve">A letter sent at the wrong time can hurt. This map tells the tool when to offer each letter, and when to say 'call legal aid' instead.</t>
  </si>
  <si>
    <t xml:space="preserve">1. List the 10 letters
2. For each: when to send, deadline, what comes next
3. Mark the red lines: court papers, lockouts, utility shut-offs
4. Draw a one-page flow</t>
  </si>
  <si>
    <t xml:space="preserve">One-page flow (PDF) + table</t>
  </si>
  <si>
    <t xml:space="preserve">Every letter has a trigger and a 'stop, get help' rule</t>
  </si>
  <si>
    <t xml:space="preserve">Drafts the flow from the statutes</t>
  </si>
  <si>
    <t xml:space="preserve">Checks it against real renter stories</t>
  </si>
  <si>
    <t xml:space="preserve">Flowchart tool</t>
  </si>
  <si>
    <t xml:space="preserve">Clear thinking</t>
  </si>
  <si>
    <t xml:space="preserve">n9</t>
  </si>
  <si>
    <t xml:space="preserve">Turn 4 finished letters into 3-box fill-in templates</t>
  </si>
  <si>
    <t xml:space="preserve">Good for you if you can build a simple web form</t>
  </si>
  <si>
    <t xml:space="preserve">Renters should fill in 3 boxes, not edit a Word file. This is the first version of the tool's engine.</t>
  </si>
  <si>
    <t xml:space="preserve">1. Mark the fill-in fields in each letter
2. Build a simple form that outputs a PDF
3. Keep all data in the browser
4. Test on a phone</t>
  </si>
  <si>
    <t xml:space="preserve">Repo link + 4 sample PDFs</t>
  </si>
  <si>
    <t xml:space="preserve">Each letter fills correctly on a phone; no network calls with personal data</t>
  </si>
  <si>
    <t xml:space="preserve">1 Checker reads the network log</t>
  </si>
  <si>
    <t xml:space="preserve">Writes the form and PDF code</t>
  </si>
  <si>
    <t xml:space="preserve">Tests on a cheap Android phone</t>
  </si>
  <si>
    <t xml:space="preserve">HTML, a PDF library</t>
  </si>
  <si>
    <t xml:space="preserve">Basic JavaScript</t>
  </si>
  <si>
    <t xml:space="preserve">n4, n6</t>
  </si>
  <si>
    <t xml:space="preserve">n2</t>
  </si>
  <si>
    <t xml:space="preserve">Check 4 letters as a Georgia lawyer</t>
  </si>
  <si>
    <t xml:space="preserve">Good for you if you're a Georgia-licensed lawyer</t>
  </si>
  <si>
    <t xml:space="preserve">Early review catches wrong citations and risky wording before all 10 are done.</t>
  </si>
  <si>
    <t xml:space="preserve">1. Read the 4 drafts and their instructions
2. Check every citation
3. Flag anything that sounds like individual advice
4. Write tracked changes</t>
  </si>
  <si>
    <t xml:space="preserve">4 marked-up drafts + one-page note</t>
  </si>
  <si>
    <t xml:space="preserve">Every citation confirmed or corrected</t>
  </si>
  <si>
    <t xml:space="preserve">A second lawyer reviews 1 of the 4</t>
  </si>
  <si>
    <t xml:space="preserve">Pulls the cited statutes side by side</t>
  </si>
  <si>
    <t xml:space="preserve">Gives legal judgement</t>
  </si>
  <si>
    <t xml:space="preserve">O.C.G.A., drafts</t>
  </si>
  <si>
    <t xml:space="preserve">Georgia Bar licence, landlord-tenant law</t>
  </si>
  <si>
    <t xml:space="preserve">n1, n4, n6</t>
  </si>
  <si>
    <t xml:space="preserve">The repair letter hints tenants can repair and deduct. Georgia case law allows it only in narrow cases.</t>
  </si>
  <si>
    <t xml:space="preserve">Remove it | Keep it with a strong warning | Move it to a separate lawyer-only note</t>
  </si>
  <si>
    <t xml:space="preserve">n8</t>
  </si>
  <si>
    <t xml:space="preserve">Recruit 2 volunteer Georgia lawyers for sign-off</t>
  </si>
  <si>
    <t xml:space="preserve">Good for you if you know lawyers in Atlanta</t>
  </si>
  <si>
    <t xml:space="preserve">Stage 2 can't start without lawyers. One is not enough: we need a second view on risky letters.</t>
  </si>
  <si>
    <t xml:space="preserve">1. Write a 3-line ask with the time needed (about 6 hours)
2. Reach out to 15 lawyers through bar pro bono channels
3. Agree a review schedule
4. Confirm Bar numbers</t>
  </si>
  <si>
    <t xml:space="preserve">2 signed volunteer agreements with Bar numbers</t>
  </si>
  <si>
    <t xml:space="preserve">2 lawyers confirmed with dates</t>
  </si>
  <si>
    <t xml:space="preserve">Mission creator checks Bar numbers on the State Bar directory</t>
  </si>
  <si>
    <t xml:space="preserve">Drafts outreach and tracks replies</t>
  </si>
  <si>
    <t xml:space="preserve">Makes the personal ask</t>
  </si>
  <si>
    <t xml:space="preserve">Email, State Bar member directory</t>
  </si>
  <si>
    <t xml:space="preserve">Networking</t>
  </si>
  <si>
    <t xml:space="preserve">n10</t>
  </si>
  <si>
    <t xml:space="preserve">Test 4 letters with 5 renters for plain language</t>
  </si>
  <si>
    <t xml:space="preserve">Good for you if renters trust you</t>
  </si>
  <si>
    <t xml:space="preserve">If a renter can't explain the letter back in their own words, it isn't ready.</t>
  </si>
  <si>
    <t xml:space="preserve">1. Find 5 renters through the tenant union
2. Video call or chat: read a letter, explain it back
3. Note every confusing word
4. Suggest simpler words</t>
  </si>
  <si>
    <t xml:space="preserve">Test notes + word list</t>
  </si>
  <si>
    <t xml:space="preserve">5 renters tested on all 4 letters</t>
  </si>
  <si>
    <t xml:space="preserve">1 Checker reads 2 sets of notes</t>
  </si>
  <si>
    <t xml:space="preserve">Prepares the script and records notes</t>
  </si>
  <si>
    <t xml:space="preserve">Runs the conversations warmly</t>
  </si>
  <si>
    <t xml:space="preserve">Video call</t>
  </si>
  <si>
    <t xml:space="preserve">Listening</t>
  </si>
  <si>
    <t xml:space="preserve">n3</t>
  </si>
  <si>
    <t xml:space="preserve">Tell us a problem you had as a renter</t>
  </si>
  <si>
    <t xml:space="preserve">Good for you if you rent in Georgia</t>
  </si>
  <si>
    <t xml:space="preserve">Real problems shape which letters we write. Leave out names and addresses.</t>
  </si>
  <si>
    <t xml:space="preserve">1. Pick the closest category
2. Describe what happened in 3 sentences
3. Say what you wish you had known</t>
  </si>
  <si>
    <t xml:space="preserve">Short form</t>
  </si>
  <si>
    <t xml:space="preserve">Form filled with no personal data</t>
  </si>
  <si>
    <t xml:space="preserve">Checker removes any personal data</t>
  </si>
  <si>
    <t xml:space="preserve">Helps you write it and strips names</t>
  </si>
  <si>
    <t xml:space="preserve">Shares what happened</t>
  </si>
  <si>
    <t xml:space="preserve">Form</t>
  </si>
  <si>
    <t xml:space="preserve">renter-right-back</t>
  </si>
  <si>
    <t xml:space="preserve">Back Rent Right</t>
  </si>
  <si>
    <t xml:space="preserve">Good for you if you want lawyers' time to reach renters</t>
  </si>
  <si>
    <t xml:space="preserve">$4,800 still needed, mostly for lawyer honoraria and Spanish translation.</t>
  </si>
  <si>
    <t xml:space="preserve">Summarises the plan and spending</t>
  </si>
  <si>
    <t xml:space="preserve">n12</t>
  </si>
  <si>
    <t xml:space="preserve">Sign off all 10 final letters in writing</t>
  </si>
  <si>
    <t xml:space="preserve">The formal gate. Each letter gets a dated sign-off kept on file.</t>
  </si>
  <si>
    <t xml:space="preserve">1. Review final English letters
2. Review Spanish back-translations
3. Sign the sign-off form per letter
4. Set a re-review date</t>
  </si>
  <si>
    <t xml:space="preserve">10 signed sign-off forms</t>
  </si>
  <si>
    <t xml:space="preserve">Every letter signed with Bar number and date</t>
  </si>
  <si>
    <t xml:space="preserve">Second lawyer co-signs 3 riskiest letters</t>
  </si>
  <si>
    <t xml:space="preserve">Prepares the review pack</t>
  </si>
  <si>
    <t xml:space="preserve">Gives legal sign-off</t>
  </si>
  <si>
    <t xml:space="preserve">Final drafts</t>
  </si>
  <si>
    <t xml:space="preserve">Georgia Bar licence</t>
  </si>
  <si>
    <t xml:space="preserve">n2, n7, n10</t>
  </si>
  <si>
    <t xml:space="preserve">n13</t>
  </si>
  <si>
    <t xml:space="preserve">Build the pick-a-problem letter tool</t>
  </si>
  <si>
    <t xml:space="preserve">Good for you if you build mobile-friendly web apps</t>
  </si>
  <si>
    <t xml:space="preserve">Pick your problem, fill 3 boxes, get a ready letter and certified-mail instructions.</t>
  </si>
  <si>
    <t xml:space="preserve">1. Build the flow from n11
2. Use the n9 templates
3. Add English/Spanish switch
4. Add legal aid referral for red-line cases
5. Run accessibility checks</t>
  </si>
  <si>
    <t xml:space="preserve">Live URL + repo</t>
  </si>
  <si>
    <t xml:space="preserve">10 renters make a correct letter in under 5 minutes on a phone</t>
  </si>
  <si>
    <t xml:space="preserve">2 Checkers: privacy + accessibility</t>
  </si>
  <si>
    <t xml:space="preserve">Makes product calls</t>
  </si>
  <si>
    <t xml:space="preserve">Static site, PDF library</t>
  </si>
  <si>
    <t xml:space="preserve">n12, n11, n9</t>
  </si>
  <si>
    <t xml:space="preserve">Store letters so renters can come back to them?</t>
  </si>
  <si>
    <t xml:space="preserve">No, everything stays on the device | Opt-in account with encrypted storage</t>
  </si>
  <si>
    <t xml:space="preserve">n14</t>
  </si>
  <si>
    <t xml:space="preserve">Share the tool at 5 tenant meetings</t>
  </si>
  <si>
    <t xml:space="preserve">Public meetings only, with a co-host. Don't discuss individual cases; refer them to legal aid.</t>
  </si>
  <si>
    <t xml:space="preserve">Good for you if you go to tenant or neighbourhood meetings</t>
  </si>
  <si>
    <t xml:space="preserve">Most renters will hear about the tool from a neighbour or a meeting, not from an ad.</t>
  </si>
  <si>
    <t xml:space="preserve">1. Book 5 meetings with tenant groups
2. Show the tool on a phone in 3 minutes
3. Hand out QR flyers
4. Count sign-ups by meeting code</t>
  </si>
  <si>
    <t xml:space="preserve">Meeting log + photos (no faces without consent)</t>
  </si>
  <si>
    <t xml:space="preserve">5 meetings, at least 50 letters made with meeting codes</t>
  </si>
  <si>
    <t xml:space="preserve">1 Checker matches codes to the counter</t>
  </si>
  <si>
    <t xml:space="preserve">Makes flyers and the demo script</t>
  </si>
  <si>
    <t xml:space="preserve">Presents and answers questions</t>
  </si>
  <si>
    <t xml:space="preserve">Flyers, phone</t>
  </si>
  <si>
    <t xml:space="preserve">fn1</t>
  </si>
  <si>
    <t xml:space="preserve">Split Berlin into 120 survey squares</t>
  </si>
  <si>
    <t xml:space="preserve">Small squares make the job feel doable in an hour.</t>
  </si>
  <si>
    <t xml:space="preserve">1. Draw a 2 km grid on uMap
2. Count existing OSM points per square
3. Mark outer squares as bonus</t>
  </si>
  <si>
    <t xml:space="preserve">uMap link</t>
  </si>
  <si>
    <t xml:space="preserve">120 squares cover all 12 districts</t>
  </si>
  <si>
    <t xml:space="preserve">1 Checker checks coverage</t>
  </si>
  <si>
    <t xml:space="preserve">Generates the grid</t>
  </si>
  <si>
    <t xml:space="preserve">Adjusts squares to real streets</t>
  </si>
  <si>
    <t xml:space="preserve">uMap, Overpass</t>
  </si>
  <si>
    <t xml:space="preserve">fn2</t>
  </si>
  <si>
    <t xml:space="preserve">Survey one square and tag every water point</t>
  </si>
  <si>
    <t xml:space="preserve">Daylight, pavements only. Watch for bikes. No photos of people.</t>
  </si>
  <si>
    <t xml:space="preserve">Good for you if you walk around Berlin anyway</t>
  </si>
  <si>
    <t xml:space="preserve">Walk the square, find each pump or fountain, test it, tag it.</t>
  </si>
  <si>
    <t xml:space="preserve">1. Claim a square
2. Walk it with StreetComplete
3. Pump or press each point
4. Photo and tag working status</t>
  </si>
  <si>
    <t xml:space="preserve">OSM changeset + photos</t>
  </si>
  <si>
    <t xml:space="preserve">All points in the square tagged with status</t>
  </si>
  <si>
    <t xml:space="preserve">1 Checker re-surveys 1 in 10 squares</t>
  </si>
  <si>
    <t xml:space="preserve">Shows existing points and missing tags</t>
  </si>
  <si>
    <t xml:space="preserve">Walks and tests</t>
  </si>
  <si>
    <t xml:space="preserve">StreetComplete</t>
  </si>
  <si>
    <t xml:space="preserve">A pump has no handle. Broken or removed?</t>
  </si>
  <si>
    <t xml:space="preserve">Tag as broken and report | Tag as disused</t>
  </si>
  <si>
    <t xml:space="preserve">fn3</t>
  </si>
  <si>
    <t xml:space="preserve">Find the right office for each point type</t>
  </si>
  <si>
    <t xml:space="preserve">Good for you if you speak German and know Berlin offices</t>
  </si>
  <si>
    <t xml:space="preserve">Drinking fountains and street pumps go to different offices, and the right one differs by district.</t>
  </si>
  <si>
    <t xml:space="preserve">1. List point types
2. Find the responsible office for each district
3. Confirm by phone with 3 districts</t>
  </si>
  <si>
    <t xml:space="preserve">Routing table</t>
  </si>
  <si>
    <t xml:space="preserve">All 12 districts × 2 types routed</t>
  </si>
  <si>
    <t xml:space="preserve">1 Checker tests 5 reports</t>
  </si>
  <si>
    <t xml:space="preserve">Searches district websites</t>
  </si>
  <si>
    <t xml:space="preserve">Calls to confirm</t>
  </si>
  <si>
    <t xml:space="preserve">District websites, Ordnungsamt-Online</t>
  </si>
  <si>
    <t xml:space="preserve">German, admin know-how</t>
  </si>
  <si>
    <t xml:space="preserve">fn4</t>
  </si>
  <si>
    <t xml:space="preserve">Generate one clean report per broken point</t>
  </si>
  <si>
    <t xml:space="preserve">Good for you if you can write Python</t>
  </si>
  <si>
    <t xml:space="preserve">Same format every time: where, what's wrong, photo, OSM link.</t>
  </si>
  <si>
    <t xml:space="preserve">1. Query broken points
2. Fill a German template
3. Attach photo and coordinates
4. Group by office</t>
  </si>
  <si>
    <t xml:space="preserve">Script + 310 report drafts</t>
  </si>
  <si>
    <t xml:space="preserve">Every broken point has one report</t>
  </si>
  <si>
    <t xml:space="preserve">1 Checker reads 20</t>
  </si>
  <si>
    <t xml:space="preserve">Writes the script</t>
  </si>
  <si>
    <t xml:space="preserve">Fixes the wording with an office</t>
  </si>
  <si>
    <t xml:space="preserve">Overpass, Python</t>
  </si>
  <si>
    <t xml:space="preserve">Python</t>
  </si>
  <si>
    <t xml:space="preserve">One district asks for a spreadsheet instead of single reports.</t>
  </si>
  <si>
    <t xml:space="preserve">Send a weekly spreadsheet | Keep single reports</t>
  </si>
  <si>
    <t xml:space="preserve">fn5</t>
  </si>
  <si>
    <t xml:space="preserve">Re-visit 10 fixed points and photo running water</t>
  </si>
  <si>
    <t xml:space="preserve">Daylight, pavements only. Don't climb or force pumps.</t>
  </si>
  <si>
    <t xml:space="preserve">Good for you if you cycle around Berlin</t>
  </si>
  <si>
    <t xml:space="preserve">Only a dated photo of running water counts as fixed.</t>
  </si>
  <si>
    <t xml:space="preserve">1. Pick 10 'fixed' notices
2. Visit and test
3. Photo with timestamp
4. Update OSM</t>
  </si>
  <si>
    <t xml:space="preserve">10 photos + changeset</t>
  </si>
  <si>
    <t xml:space="preserve">Photo dates after report dates</t>
  </si>
  <si>
    <t xml:space="preserve">Second Checker checks timestamps</t>
  </si>
  <si>
    <t xml:space="preserve">Routes visits</t>
  </si>
  <si>
    <t xml:space="preserve">Tests and photographs</t>
  </si>
  <si>
    <t xml:space="preserve">Phone, StreetComplete</t>
  </si>
  <si>
    <t xml:space="preserve">Care</t>
  </si>
  <si>
    <t xml:space="preserve">fn6</t>
  </si>
  <si>
    <t xml:space="preserve">Back Small Crew</t>
  </si>
  <si>
    <t xml:space="preserve">Good for you if you want outer districts covered too</t>
  </si>
  <si>
    <t xml:space="preserve">Bonus rewards for outer-district squares.</t>
  </si>
  <si>
    <t xml:space="preserve">1. Read plan
2. Back</t>
  </si>
  <si>
    <t xml:space="preserve">Summarises plan</t>
  </si>
  <si>
    <t xml:space="preserve">Backs</t>
  </si>
  <si>
    <t xml:space="preserve">ramp1</t>
  </si>
  <si>
    <t xml:space="preserve">Split the ramp design into 12 small jobs</t>
  </si>
  <si>
    <t xml:space="preserve">Good for you if you like breaking big jobs down</t>
  </si>
  <si>
    <t xml:space="preserve">Small jobs let many people help at once.</t>
  </si>
  <si>
    <t xml:space="preserve">1. Write the rules
2. List 12 jobs
3. Set the hand-in for each</t>
  </si>
  <si>
    <t xml:space="preserve">Job board</t>
  </si>
  <si>
    <t xml:space="preserve">12 jobs posted</t>
  </si>
  <si>
    <t xml:space="preserve">Drafts the job cards</t>
  </si>
  <si>
    <t xml:space="preserve">Sets the rules</t>
  </si>
  <si>
    <t xml:space="preserve">ramp2</t>
  </si>
  <si>
    <t xml:space="preserve">Check 6 designs against slope and width rules</t>
  </si>
  <si>
    <t xml:space="preserve">Good for you if you can read technical drawings</t>
  </si>
  <si>
    <t xml:space="preserve">A ramp that is too steep is dangerous.</t>
  </si>
  <si>
    <t xml:space="preserve">1. Open each design
2. Measure slope and width
3. Check it fits one sheet
4. Pass or fail with a reason</t>
  </si>
  <si>
    <t xml:space="preserve">Check sheet for 6 designs</t>
  </si>
  <si>
    <t xml:space="preserve">All 6 judged</t>
  </si>
  <si>
    <t xml:space="preserve">Second Checker re-checks 2</t>
  </si>
  <si>
    <t xml:space="preserve">Measures from the CAD files</t>
  </si>
  <si>
    <t xml:space="preserve">Judges edge cases</t>
  </si>
  <si>
    <t xml:space="preserve">FreeCAD</t>
  </si>
  <si>
    <t xml:space="preserve">Reading drawings</t>
  </si>
  <si>
    <t xml:space="preserve">A design is 1:11 but much stiffer. Pass?</t>
  </si>
  <si>
    <t xml:space="preserve">Fail: the rule is 1:12 | Pass with a note</t>
  </si>
  <si>
    <t xml:space="preserve">ramp3</t>
  </si>
  <si>
    <t xml:space="preserve">Load-test a prototype to 450 kg</t>
  </si>
  <si>
    <t xml:space="preserve">Test at the makerspace with a supervisor. Use sandbags, never people. Keep feet clear. Wear gloves and safety boots.</t>
  </si>
  <si>
    <t xml:space="preserve">Good for you if you have workshop access</t>
  </si>
  <si>
    <t xml:space="preserve">Proof that it holds.</t>
  </si>
  <si>
    <t xml:space="preserve">1. Set the ramp on blocks
2. Add sandbags in steps
3. Measure sag
4. Photograph each step</t>
  </si>
  <si>
    <t xml:space="preserve">Load log + photos</t>
  </si>
  <si>
    <t xml:space="preserve">Holds 450 kg with sag under 10 mm</t>
  </si>
  <si>
    <t xml:space="preserve">Supervisor + 1 Checker</t>
  </si>
  <si>
    <t xml:space="preserve">Logs readings</t>
  </si>
  <si>
    <t xml:space="preserve">Runs the test safely</t>
  </si>
  <si>
    <t xml:space="preserve">Sandbags, scale, ruler</t>
  </si>
  <si>
    <t xml:space="preserve">Workshop safety</t>
  </si>
  <si>
    <t xml:space="preserve">Sag is 12 mm but nothing broke. Pass?</t>
  </si>
  <si>
    <t xml:space="preserve">Fail and add a stringer | Pass with a lower limit</t>
  </si>
  <si>
    <t xml:space="preserve">ramp4</t>
  </si>
  <si>
    <t xml:space="preserve">Write the picture-first build guide</t>
  </si>
  <si>
    <t xml:space="preserve">Good for you if you explain things simply</t>
  </si>
  <si>
    <t xml:space="preserve">Strangers must build it right first time.</t>
  </si>
  <si>
    <t xml:space="preserve">1. Photograph each step
2. Write one line per step
3. Add metric and imperial cut plans
4. Test with a beginner</t>
  </si>
  <si>
    <t xml:space="preserve">Guide PDF</t>
  </si>
  <si>
    <t xml:space="preserve">Beginner builds it in under 6 hours</t>
  </si>
  <si>
    <t xml:space="preserve">Lays out pages</t>
  </si>
  <si>
    <t xml:space="preserve">Writes and tests</t>
  </si>
  <si>
    <t xml:space="preserve">Layout tool</t>
  </si>
  <si>
    <t xml:space="preserve">ramp5</t>
  </si>
  <si>
    <t xml:space="preserve">Build a ramp for a local shop and log it</t>
  </si>
  <si>
    <t xml:space="preserve">Wear eye and ear protection when cutting. Get the owner's permission. Test with sandbags before anyone uses it.</t>
  </si>
  <si>
    <t xml:space="preserve">Good for you if you own a saw and a drill</t>
  </si>
  <si>
    <t xml:space="preserve">Each real build proves the design.</t>
  </si>
  <si>
    <t xml:space="preserve">1. Buy one sheet
2. Follow the guide
3. Measure the slope
4. Photograph and log</t>
  </si>
  <si>
    <t xml:space="preserve">Photos + measured slope</t>
  </si>
  <si>
    <t xml:space="preserve">Slope 1:12 or gentler</t>
  </si>
  <si>
    <t xml:space="preserve">Checkers sample 10%</t>
  </si>
  <si>
    <t xml:space="preserve">Fills the log form</t>
  </si>
  <si>
    <t xml:space="preserve">Builds it</t>
  </si>
  <si>
    <t xml:space="preserve">Saw, drill, guide</t>
  </si>
  <si>
    <t xml:space="preserve">Basic DIY</t>
  </si>
  <si>
    <t xml:space="preserve">pu1</t>
  </si>
  <si>
    <t xml:space="preserve">Check every hand pump in your panchayat</t>
  </si>
  <si>
    <t xml:space="preserve">Work in pairs and in daylight. No surveying between noon and 4 pm in summer. Carry water. Never open a borewell cap or climb on the platform.</t>
  </si>
  <si>
    <t xml:space="preserve">Good for you if you know your panchayat's dhanis</t>
  </si>
  <si>
    <t xml:space="preserve">Each panchayat has 10 to 30 pumps spread across dhanis. You visit them all.</t>
  </si>
  <si>
    <t xml:space="preserve">1. Get your route from the Planner
2. At each pump: photo, GPS, 20 strokes, note water yes or no
3. Pick a symptom: no water, little water, handle loose, salty
4. Sync when you have signal</t>
  </si>
  <si>
    <t xml:space="preserve">Survey entries for every pump in the panchayat</t>
  </si>
  <si>
    <t xml:space="preserve">Every pump on the route logged</t>
  </si>
  <si>
    <t xml:space="preserve">Checker re-visits 5%</t>
  </si>
  <si>
    <t xml:space="preserve">Plans the route and stores entries offline</t>
  </si>
  <si>
    <t xml:space="preserve">Walks, tests and talks to the villagers</t>
  </si>
  <si>
    <t xml:space="preserve">ODK Collect on a phone</t>
  </si>
  <si>
    <t xml:space="preserve">Local knowledge, Marwari</t>
  </si>
  <si>
    <t xml:space="preserve">pu2</t>
  </si>
  <si>
    <t xml:space="preserve">Re-check 30 survey entries against photos and GPS</t>
  </si>
  <si>
    <t xml:space="preserve">Good for you if you're careful with data</t>
  </si>
  <si>
    <t xml:space="preserve">Survey data is only useful if it's real. This caught entries logged from home.</t>
  </si>
  <si>
    <t xml:space="preserve">1. Pick 30 entries at random
2. Check the photo shows a pump
3. Check the GPS is on the route
4. Flag entries to re-visit</t>
  </si>
  <si>
    <t xml:space="preserve">30 entries marked OK or re-visit</t>
  </si>
  <si>
    <t xml:space="preserve">All 30 judged</t>
  </si>
  <si>
    <t xml:space="preserve">Mission creator spot-checks 3</t>
  </si>
  <si>
    <t xml:space="preserve">Maps GPS against routes</t>
  </si>
  <si>
    <t xml:space="preserve">Judges the photos</t>
  </si>
  <si>
    <t xml:space="preserve">Survey data</t>
  </si>
  <si>
    <t xml:space="preserve">Five entries share one GPS point but show different pumps. What do you do?</t>
  </si>
  <si>
    <t xml:space="preserve">Accept them | Send them for a re-visit | Ask the volunteer</t>
  </si>
  <si>
    <t xml:space="preserve">pu3</t>
  </si>
  <si>
    <t xml:space="preserve">Hand the broken-pump list to the PHED office</t>
  </si>
  <si>
    <t xml:space="preserve">Go to the office in pairs, during office hours. Keep a signed receipt copy.</t>
  </si>
  <si>
    <t xml:space="preserve">Good for you if officials take you seriously</t>
  </si>
  <si>
    <t xml:space="preserve">A list handed over in person, with a receipt, is much harder to lose.</t>
  </si>
  <si>
    <t xml:space="preserve">1. Print the list for each block, sorted by likely fault
2. Meet the Assistant Engineer
3. Get a signed and stamped receipt
4. Agree a weekly check-in</t>
  </si>
  <si>
    <t xml:space="preserve">Signed receipts for 4 blocks</t>
  </si>
  <si>
    <t xml:space="preserve">All 4 blocks receipted</t>
  </si>
  <si>
    <t xml:space="preserve">2 Checkers see the receipts</t>
  </si>
  <si>
    <t xml:space="preserve">Prints and sorts the lists</t>
  </si>
  <si>
    <t xml:space="preserve">Holds the meeting</t>
  </si>
  <si>
    <t xml:space="preserve">Printouts</t>
  </si>
  <si>
    <t xml:space="preserve">Dealing with officials</t>
  </si>
  <si>
    <t xml:space="preserve">pu4</t>
  </si>
  <si>
    <t xml:space="preserve">Get panchayats to fund 40 stuck pump repairs</t>
  </si>
  <si>
    <t xml:space="preserve">Meet at the panchayat bhawan in a public meeting. Never handle cash.</t>
  </si>
  <si>
    <t xml:space="preserve">Good for you if you know how panchayats spend</t>
  </si>
  <si>
    <t xml:space="preserve">PHED was out of pipes. Panchayats could buy parts from tied water grants.</t>
  </si>
  <si>
    <t xml:space="preserve">1. List repairs stuck for parts, by panchayat
2. Show each sarpanch the list and the grant rule
3. Get the item added to the panchayat plan
4. Track the purchase</t>
  </si>
  <si>
    <t xml:space="preserve">Panchayat resolutions for 40 repairs</t>
  </si>
  <si>
    <t xml:space="preserve">40 repairs funded</t>
  </si>
  <si>
    <t xml:space="preserve">Checker confirms the plan entries on e-GramSwaraj</t>
  </si>
  <si>
    <t xml:space="preserve">Pulls panchayat plans and grant rules</t>
  </si>
  <si>
    <t xml:space="preserve">Persuades the sarpanch</t>
  </si>
  <si>
    <t xml:space="preserve">e-GramSwaraj</t>
  </si>
  <si>
    <t xml:space="preserve">Panchayat processes</t>
  </si>
  <si>
    <t xml:space="preserve">A sarpanch offers to fund only the pumps in his own hamlet. Do you accept?</t>
  </si>
  <si>
    <t xml:space="preserve">Accept | Ask him to fund by need | Go to the gram sabha</t>
  </si>
  <si>
    <t xml:space="preserve">pu6</t>
  </si>
  <si>
    <t xml:space="preserve">Write the monthly fix count for the block meeting</t>
  </si>
  <si>
    <t xml:space="preserve">A short, honest count, shown each month, kept officials paying attention.</t>
  </si>
  <si>
    <t xml:space="preserve">1. Count fixed, pending and stuck pumps by block
2. Write one page
3. Thank the officials who acted
4. Share it before the meeting</t>
  </si>
  <si>
    <t xml:space="preserve">One-page monthly update</t>
  </si>
  <si>
    <t xml:space="preserve">Shared before each block meeting</t>
  </si>
  <si>
    <t xml:space="preserve">Checker verifies the counts</t>
  </si>
  <si>
    <t xml:space="preserve">Computes the counts</t>
  </si>
  <si>
    <t xml:space="preserve">Writes it in plain Hindi</t>
  </si>
  <si>
    <t xml:space="preserve">pu5</t>
  </si>
  <si>
    <t xml:space="preserve">Re-check 25 fixed pumps after 30 days</t>
  </si>
  <si>
    <t xml:space="preserve">Work in pairs and in daylight. Carry water. Don't touch the pump's internals.</t>
  </si>
  <si>
    <t xml:space="preserve">Good for you if you don't mind long walks in the heat</t>
  </si>
  <si>
    <t xml:space="preserve">Proof that fixes lasted. This is where we found 21 pumps had failed again.</t>
  </si>
  <si>
    <t xml:space="preserve">1. Visit 25 fixed pumps
2. Run 20 strokes
3. Photo or video the flow
4. Re-report any failures</t>
  </si>
  <si>
    <t xml:space="preserve">25 results with media</t>
  </si>
  <si>
    <t xml:space="preserve">All 25 tested</t>
  </si>
  <si>
    <t xml:space="preserve">Mission creator reviews 5</t>
  </si>
  <si>
    <t xml:space="preserve">Plans the route</t>
  </si>
  <si>
    <t xml:space="preserve">Tests and judges</t>
  </si>
  <si>
    <t xml:space="preserve">Field work</t>
  </si>
  <si>
    <t xml:space="preserve">air1</t>
  </si>
  <si>
    <t xml:space="preserve">Compare 3 CO2 sensors against a reference meter</t>
  </si>
  <si>
    <t xml:space="preserve">Good for you if you like testing gadgets</t>
  </si>
  <si>
    <t xml:space="preserve">Before building, find out which sensors actually tell the truth in a crowded room.</t>
  </si>
  <si>
    <t xml:space="preserve">1. Place 3 sensors next to the reference meter
2. Log for 48 hours in a room with people in it
3. Compare readings</t>
  </si>
  <si>
    <t xml:space="preserve">48-hour log and an error table</t>
  </si>
  <si>
    <t xml:space="preserve">Error table for each sensor from 400 to 2,000 ppm</t>
  </si>
  <si>
    <t xml:space="preserve">2 Checkers re-plot the log</t>
  </si>
  <si>
    <t xml:space="preserve">Logs and plots</t>
  </si>
  <si>
    <t xml:space="preserve">Reference meter, 3 sensors</t>
  </si>
  <si>
    <t xml:space="preserve">Careful testing</t>
  </si>
  <si>
    <t xml:space="preserve">The $5 eCO2 chip reads 600 ppm while the reference shows 1,400</t>
  </si>
  <si>
    <t xml:space="preserve">Drop it | Try to correct it in software | Keep it as a backup</t>
  </si>
  <si>
    <t xml:space="preserve">air2</t>
  </si>
  <si>
    <t xml:space="preserve">Build 5 NDIR prototypes with traffic-light display</t>
  </si>
  <si>
    <t xml:space="preserve">USB power only; solder in a ventilated space with eye protection.</t>
  </si>
  <si>
    <t xml:space="preserve">Good for you if you can solder</t>
  </si>
  <si>
    <t xml:space="preserve">Build the first real units with the sensor that passed.</t>
  </si>
  <si>
    <t xml:space="preserve">1. Wire the sensor to the board
2. Write the firmware
3. Add a 3-colour LED
4. Test all 5 against the reference</t>
  </si>
  <si>
    <t xml:space="preserve">5 units, firmware repo and test log</t>
  </si>
  <si>
    <t xml:space="preserve">All 5 within ±100 ppm</t>
  </si>
  <si>
    <t xml:space="preserve">Writes firmware</t>
  </si>
  <si>
    <t xml:space="preserve">Builds and solders</t>
  </si>
  <si>
    <t xml:space="preserve">ESP32, NDIR sensor, LED, KiCad</t>
  </si>
  <si>
    <t xml:space="preserve">Electronics</t>
  </si>
  <si>
    <t xml:space="preserve">air3</t>
  </si>
  <si>
    <t xml:space="preserve">Get real quotes for a 50-unit batch</t>
  </si>
  <si>
    <t xml:space="preserve">Good for you if you like hunting prices</t>
  </si>
  <si>
    <t xml:space="preserve">Find the true price of 50 units, including case, board, shipping and customs.</t>
  </si>
  <si>
    <t xml:space="preserve">1. Request quotes from 4 suppliers
2. Add assembly time
3. Build a full cost sheet</t>
  </si>
  <si>
    <t xml:space="preserve">Cost sheet with quotes</t>
  </si>
  <si>
    <t xml:space="preserve">Every line backed by a written quote</t>
  </si>
  <si>
    <t xml:space="preserve">Finds suppliers and drafts requests</t>
  </si>
  <si>
    <t xml:space="preserve">Sourcing</t>
  </si>
  <si>
    <t xml:space="preserve">air4</t>
  </si>
  <si>
    <t xml:space="preserve">Audit the $90 cost sheet</t>
  </si>
  <si>
    <t xml:space="preserve">Good for you if numbers don't scare you</t>
  </si>
  <si>
    <t xml:space="preserve">Before stopping, make sure $90 is real and not a mistake.</t>
  </si>
  <si>
    <t xml:space="preserve">1. Check each quote
2. Look for cheaper options
3. Confirm the total</t>
  </si>
  <si>
    <t xml:space="preserve">Audit note</t>
  </si>
  <si>
    <t xml:space="preserve">Total confirmed within ±$10</t>
  </si>
  <si>
    <t xml:space="preserve">Checks the arithmetic</t>
  </si>
  <si>
    <t xml:space="preserve">Judges the alternatives</t>
  </si>
  <si>
    <t xml:space="preserve">Cost sheet</t>
  </si>
  <si>
    <t xml:space="preserve">Accounting</t>
  </si>
  <si>
    <t xml:space="preserve">Cost is $90 against a $20 target</t>
  </si>
  <si>
    <t xml:space="preserve">Stop and refund | Change the goal to $90 | Try a cheaper sensor</t>
  </si>
  <si>
    <t xml:space="preserve">air5</t>
  </si>
  <si>
    <t xml:space="preserve">Write the honest stop note for funders</t>
  </si>
  <si>
    <t xml:space="preserve">Good for you if you can say hard things simply</t>
  </si>
  <si>
    <t xml:space="preserve">Explain why we stopped, what was paid and what comes back.</t>
  </si>
  <si>
    <t xml:space="preserve">1. Explain the $90
2. List what was paid
3. Confirm the $9,400 refund</t>
  </si>
  <si>
    <t xml:space="preserve">Stop note</t>
  </si>
  <si>
    <t xml:space="preserve">Approved by the creator and sent to 61 funders</t>
  </si>
  <si>
    <t xml:space="preserve">Makes it honest and kind</t>
  </si>
  <si>
    <t xml:space="preserve">a18</t>
  </si>
  <si>
    <t xml:space="preserve">Write a 45-minute CPR lesson for 12-year-olds</t>
  </si>
  <si>
    <t xml:space="preserve">Good for you if you teach first aid</t>
  </si>
  <si>
    <t xml:space="preserve">Pulse Club bets that kids can teach their families. It starts with one lesson a teacher can run.</t>
  </si>
  <si>
    <t xml:space="preserve">1. Follow current CPR guidelines
2. Plan 45 minutes: watch, try, teach back
3. List what a school needs</t>
  </si>
  <si>
    <t xml:space="preserve">Lesson plan</t>
  </si>
  <si>
    <t xml:space="preserve">A teacher can run it without help</t>
  </si>
  <si>
    <t xml:space="preserve">A nurse Checker reviews it</t>
  </si>
  <si>
    <t xml:space="preserve">Drafts the plan</t>
  </si>
  <si>
    <t xml:space="preserve">Checks it against guidelines</t>
  </si>
  <si>
    <t xml:space="preserve">Current CPR guidelines</t>
  </si>
  <si>
    <t xml:space="preserve">a19</t>
  </si>
  <si>
    <t xml:space="preserve">Write the call script for a choking emergency</t>
  </si>
  <si>
    <t xml:space="preserve">Good for you if you have worked in emergency care</t>
  </si>
  <si>
    <t xml:space="preserve">Line Lift bets on a voice on the phone. Each emergency needs a short, clear script.</t>
  </si>
  <si>
    <t xml:space="preserve">1. Start with the local emergency number
2. Write short spoken steps
3. Add what to say if it doesn't work</t>
  </si>
  <si>
    <t xml:space="preserve">Call script</t>
  </si>
  <si>
    <t xml:space="preserve">Every step fits in one sentence</t>
  </si>
  <si>
    <t xml:space="preserve">Drafts the script</t>
  </si>
  <si>
    <t xml:space="preserve">Makes it sound human</t>
  </si>
  <si>
    <t xml:space="preserve">First Aiders' choking guide</t>
  </si>
  <si>
    <t xml:space="preserve">Emergency care</t>
  </si>
  <si>
    <t xml:space="preserve">l15</t>
  </si>
  <si>
    <t xml:space="preserve">Count homes with kids on suspected lead lines</t>
  </si>
  <si>
    <t xml:space="preserve">Good for you if you like public data</t>
  </si>
  <si>
    <t xml:space="preserve">Filter First needs to know how many filters to buy before raising money.</t>
  </si>
  <si>
    <t xml:space="preserve">1. Use the city's public lead inventory
2. Join it with public school-age counts by block
3. Never use names or private data</t>
  </si>
  <si>
    <t xml:space="preserve">Count by block</t>
  </si>
  <si>
    <t xml:space="preserve">Every block has a count and a source</t>
  </si>
  <si>
    <t xml:space="preserve">1 Checker re-runs 5 blocks</t>
  </si>
  <si>
    <t xml:space="preserve">Joins the data</t>
  </si>
  <si>
    <t xml:space="preserve">Checks it makes sense</t>
  </si>
  <si>
    <t xml:space="preserve">Dayton lead inventory, census blocks</t>
  </si>
  <si>
    <t xml:space="preserve">t17</t>
  </si>
  <si>
    <t xml:space="preserve">Try the 10-minute daily check in one class</t>
  </si>
  <si>
    <t xml:space="preserve">Teachers run it in their own class only, with the head teacher's OK.</t>
  </si>
  <si>
    <t xml:space="preserve">Good for you if you teach primary maths</t>
  </si>
  <si>
    <t xml:space="preserve">Front Row bets on helping the teacher instead of the phone. One class for 4 weeks shows if it sticks.</t>
  </si>
  <si>
    <t xml:space="preserve">1. Run the check each morning
2. Group kids by what they can do
3. Log 4 weeks of results</t>
  </si>
  <si>
    <t xml:space="preserve">4-week log</t>
  </si>
  <si>
    <t xml:space="preserve">Log covers 18 of 20 school days</t>
  </si>
  <si>
    <t xml:space="preserve">A Checker samples 5 days</t>
  </si>
  <si>
    <t xml:space="preserve">Keeps the log tidy</t>
  </si>
  <si>
    <t xml:space="preserve">Teaches the class</t>
  </si>
  <si>
    <t xml:space="preserve">Paper and pencil</t>
  </si>
  <si>
    <t xml:space="preserve">Teaching</t>
  </si>
  <si>
    <t xml:space="preserve">k17</t>
  </si>
  <si>
    <t xml:space="preserve">Write the neutral read-aloud rules</t>
  </si>
  <si>
    <t xml:space="preserve">Reading profiles aloud only works if every candidate gets the same time and words.</t>
  </si>
  <si>
    <t xml:space="preserve">1. Same order for every seat
2. Read the checked one-pager word for word
3. No opinions, no answers about who to vote for</t>
  </si>
  <si>
    <t xml:space="preserve">One-page rules</t>
  </si>
  <si>
    <t xml:space="preserve">Two Checkers agree it is neutral</t>
  </si>
  <si>
    <t xml:space="preserve">Drafts the rules</t>
  </si>
  <si>
    <t xml:space="preserve">Decides the hard cases</t>
  </si>
  <si>
    <t xml:space="preserve">Vote Clear profiles</t>
  </si>
  <si>
    <t xml:space="preserve">Fairness</t>
  </si>
  <si>
    <t xml:space="preserve">p17</t>
  </si>
  <si>
    <t xml:space="preserve">Match 200 crash reports to pinned potholes</t>
  </si>
  <si>
    <t xml:space="preserve">Good for you if you work with maps</t>
  </si>
  <si>
    <t xml:space="preserve">Crash Map wants to fix the potholes that hurt people first.</t>
  </si>
  <si>
    <t xml:space="preserve">1. Gather public crash reports with a road name
2. Match each to pins within 50 metres
3. Rank roads by crashes</t>
  </si>
  <si>
    <t xml:space="preserve">Ranked road list</t>
  </si>
  <si>
    <t xml:space="preserve">Every match has a source</t>
  </si>
  <si>
    <t xml:space="preserve">1 Checker re-matches 20</t>
  </si>
  <si>
    <t xml:space="preserve">Matches by location</t>
  </si>
  <si>
    <t xml:space="preserve">Judges unclear cases</t>
  </si>
  <si>
    <t xml:space="preserve">Public crash reports, Pothole Patrol pins</t>
  </si>
  <si>
    <t xml:space="preserve">s18</t>
  </si>
  <si>
    <t xml:space="preserve">Write a one-page Hindi guide to the school grant</t>
  </si>
  <si>
    <t xml:space="preserve">Good for you if you know how school grants work</t>
  </si>
  <si>
    <t xml:space="preserve">Parents can ask about money at every committee meeting, if they know what to ask.</t>
  </si>
  <si>
    <t xml:space="preserve">1. List the grant heads
2. Say what each should buy
3. Add 5 polite questions to ask</t>
  </si>
  <si>
    <t xml:space="preserve">One-page guide</t>
  </si>
  <si>
    <t xml:space="preserve">A parent understands it on first read</t>
  </si>
  <si>
    <t xml:space="preserve">1 Checker and 2 parents</t>
  </si>
  <si>
    <t xml:space="preserve">Drafts the guide</t>
  </si>
  <si>
    <t xml:space="preserve">Makes it plain</t>
  </si>
  <si>
    <t xml:space="preserve">Samagra Shiksha grant rules</t>
  </si>
  <si>
    <t xml:space="preserve">School finance</t>
  </si>
  <si>
    <t xml:space="preserve">f16</t>
  </si>
  <si>
    <t xml:space="preserve">Find a street captain on 5 flood-prone streets</t>
  </si>
  <si>
    <t xml:space="preserve">Daytime only, in pairs, and never near fast water.</t>
  </si>
  <si>
    <t xml:space="preserve">Good for you if you know your neighbours</t>
  </si>
  <si>
    <t xml:space="preserve">Street Watch bets on people, not just phones.</t>
  </si>
  <si>
    <t xml:space="preserve">1. Pick 5 streets that flood first
2. Meet residents
3. Agree one captain per street</t>
  </si>
  <si>
    <t xml:space="preserve">5 named captains, with consent</t>
  </si>
  <si>
    <t xml:space="preserve">Each captain has agreed in writing</t>
  </si>
  <si>
    <t xml:space="preserve">1 Checker calls each captain</t>
  </si>
  <si>
    <t xml:space="preserve">Plans the visits</t>
  </si>
  <si>
    <t xml:space="preserve">Meets people</t>
  </si>
  <si>
    <t xml:space="preserve">Flood Watch street map</t>
  </si>
  <si>
    <t xml:space="preserve">Community work</t>
  </si>
  <si>
    <t xml:space="preserve">n15</t>
  </si>
  <si>
    <t xml:space="preserve">Hold one building meeting about repairs</t>
  </si>
  <si>
    <t xml:space="preserve">Meet in a public room, not in a unit, and tell no one's landlord who came.</t>
  </si>
  <si>
    <t xml:space="preserve">Good for you if you organise people</t>
  </si>
  <si>
    <t xml:space="preserve">Block by Block bets that a group letter gets answered faster.</t>
  </si>
  <si>
    <t xml:space="preserve">1. Pick a building with many repair problems
2. Invite every renter
3. List the shared problems</t>
  </si>
  <si>
    <t xml:space="preserve">Meeting notes without names</t>
  </si>
  <si>
    <t xml:space="preserve">At least 5 households came</t>
  </si>
  <si>
    <t xml:space="preserve">1 Checker reviews the notes</t>
  </si>
  <si>
    <t xml:space="preserve">Drafts the invite</t>
  </si>
  <si>
    <t xml:space="preserve">Runs the meeting</t>
  </si>
  <si>
    <t xml:space="preserve">Rent Right letters</t>
  </si>
  <si>
    <t xml:space="preserve">If your role is</t>
  </si>
  <si>
    <t xml:space="preserve">Mission</t>
  </si>
  <si>
    <t xml:space="preserve">Know your candidate before you vote</t>
  </si>
  <si>
    <t xml:space="preserve">Find a drug for glioblastoma</t>
  </si>
  <si>
    <t xml:space="preserve">Find every lead pipe in one city</t>
  </si>
  <si>
    <t xml:space="preserve">Map every coral reef from space</t>
  </si>
  <si>
    <t xml:space="preserve">Offline maths tutor for kids</t>
  </si>
  <si>
    <t xml:space="preserve">First-aid guides in 50 languages</t>
  </si>
  <si>
    <t xml:space="preserve">Flood alerts by text for Lagos</t>
  </si>
  <si>
    <t xml:space="preserve">Build Joystick's open agent engine</t>
  </si>
  <si>
    <t xml:space="preserve">An open AI that speaks India</t>
  </si>
  <si>
    <t xml:space="preserve">Fix every pothole in Bengaluru</t>
  </si>
  <si>
    <t xml:space="preserve">Free legal letters for renters</t>
  </si>
  <si>
    <t xml:space="preserve">Ask where the school money went</t>
  </si>
  <si>
    <t xml:space="preserve">Name</t>
  </si>
  <si>
    <t xml:space="preserve">Agent</t>
  </si>
  <si>
    <t xml:space="preserve">Agent shape</t>
  </si>
  <si>
    <t xml:space="preserve">City</t>
  </si>
  <si>
    <t xml:space="preserve">Country</t>
  </si>
  <si>
    <t xml:space="preserve">Main role</t>
  </si>
  <si>
    <t xml:space="preserve">Bio (one line)</t>
  </si>
  <si>
    <t xml:space="preserve">Skill 1</t>
  </si>
  <si>
    <t xml:space="preserve">Proof</t>
  </si>
  <si>
    <t xml:space="preserve">Skill 2</t>
  </si>
  <si>
    <t xml:space="preserve">Languages</t>
  </si>
  <si>
    <t xml:space="preserve">Level</t>
  </si>
  <si>
    <t xml:space="preserve">Quests done</t>
  </si>
  <si>
    <t xml:space="preserve">Check score</t>
  </si>
  <si>
    <t xml:space="preserve">Recent work</t>
  </si>
  <si>
    <t xml:space="preserve">Type</t>
  </si>
  <si>
    <t xml:space="preserve">Dock</t>
  </si>
  <si>
    <t xml:space="preserve">cone</t>
  </si>
  <si>
    <t xml:space="preserve">Bengaluru</t>
  </si>
  <si>
    <t xml:space="preserve">Chemist who leads the fastest squad in the glioblastoma race.</t>
  </si>
  <si>
    <t xml:space="preserve">Drug docking</t>
  </si>
  <si>
    <t xml:space="preserve">Verified · 30 quests</t>
  </si>
  <si>
    <t xml:space="preserve">Verified · degree</t>
  </si>
  <si>
    <t xml:space="preserve">English, Malayalam</t>
  </si>
  <si>
    <t xml:space="preserve">Led parts 1–2 of the million-molecule test</t>
  </si>
  <si>
    <t xml:space="preserve">Star</t>
  </si>
  <si>
    <t xml:space="preserve">Kenji Sato</t>
  </si>
  <si>
    <t xml:space="preserve">Byte</t>
  </si>
  <si>
    <t xml:space="preserve">cube</t>
  </si>
  <si>
    <t xml:space="preserve">Osaka</t>
  </si>
  <si>
    <t xml:space="preserve">Japan</t>
  </si>
  <si>
    <t xml:space="preserve">Backend engineer who keeps the computers busy.</t>
  </si>
  <si>
    <t xml:space="preserve">Verified · GitHub</t>
  </si>
  <si>
    <t xml:space="preserve">GPU ops</t>
  </si>
  <si>
    <t xml:space="preserve">Verified · 20 quests</t>
  </si>
  <si>
    <t xml:space="preserve">Japanese, English</t>
  </si>
  <si>
    <t xml:space="preserve">Tested the first 250,000 molecules</t>
  </si>
  <si>
    <t xml:space="preserve">Regular</t>
  </si>
  <si>
    <t xml:space="preserve">Rosa Lima</t>
  </si>
  <si>
    <t xml:space="preserve">Dot</t>
  </si>
  <si>
    <t xml:space="preserve">blob</t>
  </si>
  <si>
    <t xml:space="preserve">Lisbon</t>
  </si>
  <si>
    <t xml:space="preserve">Portugal</t>
  </si>
  <si>
    <t xml:space="preserve">Biology researcher who re-runs other people's results.</t>
  </si>
  <si>
    <t xml:space="preserve">Verified · 12 quests</t>
  </si>
  <si>
    <t xml:space="preserve">Statistics</t>
  </si>
  <si>
    <t xml:space="preserve">Self-reported</t>
  </si>
  <si>
    <t xml:space="preserve">Portuguese, English</t>
  </si>
  <si>
    <t xml:space="preserve">Checked 20 docking results</t>
  </si>
  <si>
    <t xml:space="preserve">Moss</t>
  </si>
  <si>
    <t xml:space="preserve">drop</t>
  </si>
  <si>
    <t xml:space="preserve">Lagos</t>
  </si>
  <si>
    <t xml:space="preserve">Nigeria</t>
  </si>
  <si>
    <t xml:space="preserve">Pharmacologist who knows which old drugs might do new tricks.</t>
  </si>
  <si>
    <t xml:space="preserve">Lab methods</t>
  </si>
  <si>
    <t xml:space="preserve">Verified · 6 quests</t>
  </si>
  <si>
    <t xml:space="preserve">English, Yoruba</t>
  </si>
  <si>
    <t xml:space="preserve">Pulled the list of approved drugs</t>
  </si>
  <si>
    <t xml:space="preserve">Dr. Wei Lin</t>
  </si>
  <si>
    <t xml:space="preserve">Quill</t>
  </si>
  <si>
    <t xml:space="preserve">pill</t>
  </si>
  <si>
    <t xml:space="preserve">Singapore</t>
  </si>
  <si>
    <t xml:space="preserve">Brain tumour drug expert. Checks the hard ones.</t>
  </si>
  <si>
    <t xml:space="preserve">Verified · licence</t>
  </si>
  <si>
    <t xml:space="preserve">Brain tumours</t>
  </si>
  <si>
    <t xml:space="preserve">Verified · papers</t>
  </si>
  <si>
    <t xml:space="preserve">English, Mandarin</t>
  </si>
  <si>
    <t xml:space="preserve">Reviewed 9 drug shortlists</t>
  </si>
  <si>
    <t xml:space="preserve">Fizz</t>
  </si>
  <si>
    <t xml:space="preserve">star</t>
  </si>
  <si>
    <t xml:space="preserve">Cairo</t>
  </si>
  <si>
    <t xml:space="preserve">Egypt</t>
  </si>
  <si>
    <t xml:space="preserve">Student who runs a swarm of 200 tiny agents.</t>
  </si>
  <si>
    <t xml:space="preserve">Chemistry</t>
  </si>
  <si>
    <t xml:space="preserve">Arabic, English</t>
  </si>
  <si>
    <t xml:space="preserve">Trained the first molecule generator</t>
  </si>
  <si>
    <t xml:space="preserve">Sprout</t>
  </si>
  <si>
    <t xml:space="preserve">Toronto</t>
  </si>
  <si>
    <t xml:space="preserve">Canada</t>
  </si>
  <si>
    <t xml:space="preserve">Nutrition researcher. Her mum had a brain tumour.</t>
  </si>
  <si>
    <t xml:space="preserve">Nutrition science</t>
  </si>
  <si>
    <t xml:space="preserve">Clinical trials</t>
  </si>
  <si>
    <t xml:space="preserve">English, Urdu</t>
  </si>
  <si>
    <t xml:space="preserve">Proposed the diet + drug plan</t>
  </si>
  <si>
    <t xml:space="preserve">Nori</t>
  </si>
  <si>
    <t xml:space="preserve">Kyoto</t>
  </si>
  <si>
    <t xml:space="preserve">Chemist who spots bad molecules fast.</t>
  </si>
  <si>
    <t xml:space="preserve">Verified · 9 quests</t>
  </si>
  <si>
    <t xml:space="preserve">Japanese</t>
  </si>
  <si>
    <t xml:space="preserve">Checked 300 new designs</t>
  </si>
  <si>
    <t xml:space="preserve">Gear</t>
  </si>
  <si>
    <t xml:space="preserve">Leeds</t>
  </si>
  <si>
    <t xml:space="preserve">UK</t>
  </si>
  <si>
    <t xml:space="preserve">Has built developer tools for 12 years. Now builds agents.</t>
  </si>
  <si>
    <t xml:space="preserve">TypeScript</t>
  </si>
  <si>
    <t xml:space="preserve">Agent tools</t>
  </si>
  <si>
    <t xml:space="preserve">Verified · 15 quests</t>
  </si>
  <si>
    <t xml:space="preserve">English</t>
  </si>
  <si>
    <t xml:space="preserve">Built the first quest loop</t>
  </si>
  <si>
    <t xml:space="preserve">Pixel</t>
  </si>
  <si>
    <t xml:space="preserve">Berlin</t>
  </si>
  <si>
    <t xml:space="preserve">Germany</t>
  </si>
  <si>
    <t xml:space="preserve">Designer who builds with agents every day.</t>
  </si>
  <si>
    <t xml:space="preserve">Product design</t>
  </si>
  <si>
    <t xml:space="preserve">Verified · portfolio</t>
  </si>
  <si>
    <t xml:space="preserve">Agent workflows</t>
  </si>
  <si>
    <t xml:space="preserve">Verified · 8 quests</t>
  </si>
  <si>
    <t xml:space="preserve">German, English</t>
  </si>
  <si>
    <t xml:space="preserve">Split the engine into 12 small jobs</t>
  </si>
  <si>
    <t xml:space="preserve">Sutra</t>
  </si>
  <si>
    <t xml:space="preserve">AI researcher. Wants AI that speaks his grandmother's language.</t>
  </si>
  <si>
    <t xml:space="preserve">Model training</t>
  </si>
  <si>
    <t xml:space="preserve">GPUs at scale</t>
  </si>
  <si>
    <t xml:space="preserve">Verified · 11 quests</t>
  </si>
  <si>
    <t xml:space="preserve">Kannada, Telugu, English</t>
  </si>
  <si>
    <t xml:space="preserve">Trained the first test model</t>
  </si>
  <si>
    <t xml:space="preserve">Tune</t>
  </si>
  <si>
    <t xml:space="preserve">Chandigarh</t>
  </si>
  <si>
    <t xml:space="preserve">Engineer who fine-tunes open models on weekends.</t>
  </si>
  <si>
    <t xml:space="preserve">Fine-tuning</t>
  </si>
  <si>
    <t xml:space="preserve">Punjabi, Hindi, English</t>
  </si>
  <si>
    <t xml:space="preserve">Tuned a model on 5 languages</t>
  </si>
  <si>
    <t xml:space="preserve">Lipi</t>
  </si>
  <si>
    <t xml:space="preserve">Hyderabad</t>
  </si>
  <si>
    <t xml:space="preserve">Linguist who knows 6 scripts. Cleans text so models learn right.</t>
  </si>
  <si>
    <t xml:space="preserve">Indian languages</t>
  </si>
  <si>
    <t xml:space="preserve">Verified · 16 quests</t>
  </si>
  <si>
    <t xml:space="preserve">Urdu, Telugu, Hindi, English</t>
  </si>
  <si>
    <t xml:space="preserve">Cleaned 2 million lines of Urdu</t>
  </si>
  <si>
    <t xml:space="preserve">Coral</t>
  </si>
  <si>
    <t xml:space="preserve">Cebu</t>
  </si>
  <si>
    <t xml:space="preserve">Philippines</t>
  </si>
  <si>
    <t xml:space="preserve">Marine biologist and diver. Has seen reefs die.</t>
  </si>
  <si>
    <t xml:space="preserve">Verified · dive cert</t>
  </si>
  <si>
    <t xml:space="preserve">Marine biology</t>
  </si>
  <si>
    <t xml:space="preserve">Filipino, Spanish, English</t>
  </si>
  <si>
    <t xml:space="preserve">Scored 12 reefs on site</t>
  </si>
  <si>
    <t xml:space="preserve">Nova</t>
  </si>
  <si>
    <t xml:space="preserve">Accra</t>
  </si>
  <si>
    <t xml:space="preserve">Ghana</t>
  </si>
  <si>
    <t xml:space="preserve">Runs a small solar company. Funds plans she believes in.</t>
  </si>
  <si>
    <t xml:space="preserve">Funding</t>
  </si>
  <si>
    <t xml:space="preserve">Verified · 14 backs</t>
  </si>
  <si>
    <t xml:space="preserve">Solar power</t>
  </si>
  <si>
    <t xml:space="preserve">English, Twi</t>
  </si>
  <si>
    <t xml:space="preserve">Backed Reef Ops and Chalk Squad</t>
  </si>
  <si>
    <t xml:space="preserve">Chalk</t>
  </si>
  <si>
    <t xml:space="preserve">Head teacher. Her school has 40 kids per phone.</t>
  </si>
  <si>
    <t xml:space="preserve">Teaching maths</t>
  </si>
  <si>
    <t xml:space="preserve">Verified · school</t>
  </si>
  <si>
    <t xml:space="preserve">Running pilots</t>
  </si>
  <si>
    <t xml:space="preserve">Verified · 3 quests</t>
  </si>
  <si>
    <t xml:space="preserve">English, Igbo</t>
  </si>
  <si>
    <t xml:space="preserve">Ran the pilot in 5 schools</t>
  </si>
  <si>
    <t xml:space="preserve">Rusty</t>
  </si>
  <si>
    <t xml:space="preserve">Dayton</t>
  </si>
  <si>
    <t xml:space="preserve">USA</t>
  </si>
  <si>
    <t xml:space="preserve">Retired civil engineer. Spent 30 years on water pipes.</t>
  </si>
  <si>
    <t xml:space="preserve">Water systems</t>
  </si>
  <si>
    <t xml:space="preserve">City records</t>
  </si>
  <si>
    <t xml:space="preserve">Proposed the lead pipe plan</t>
  </si>
  <si>
    <t xml:space="preserve">Luz</t>
  </si>
  <si>
    <t xml:space="preserve">Manila</t>
  </si>
  <si>
    <t xml:space="preserve">ER nurse. Wants first aid in every language.</t>
  </si>
  <si>
    <t xml:space="preserve">Training</t>
  </si>
  <si>
    <t xml:space="preserve">Verified · 4 quests</t>
  </si>
  <si>
    <t xml:space="preserve">Filipino, English</t>
  </si>
  <si>
    <t xml:space="preserve">Picked the first 14 guides</t>
  </si>
  <si>
    <t xml:space="preserve">Didi</t>
  </si>
  <si>
    <t xml:space="preserve">Barmer</t>
  </si>
  <si>
    <t xml:space="preserve">Village health worker. Knows every family in her area.</t>
  </si>
  <si>
    <t xml:space="preserve">Village health</t>
  </si>
  <si>
    <t xml:space="preserve">Verified · ID</t>
  </si>
  <si>
    <t xml:space="preserve">Field visits</t>
  </si>
  <si>
    <t xml:space="preserve">Verified · 18 quests</t>
  </si>
  <si>
    <t xml:space="preserve">Hindi, Marwari</t>
  </si>
  <si>
    <t xml:space="preserve">Checked benefits for 30 families</t>
  </si>
  <si>
    <t xml:space="preserve">Guru</t>
  </si>
  <si>
    <t xml:space="preserve">Patna</t>
  </si>
  <si>
    <t xml:space="preserve">Retired school teacher. Wants to know where the money went.</t>
  </si>
  <si>
    <t xml:space="preserve">Information requests</t>
  </si>
  <si>
    <t xml:space="preserve">Verified · 22 filed</t>
  </si>
  <si>
    <t xml:space="preserve">School records</t>
  </si>
  <si>
    <t xml:space="preserve">Hindi, Bhojpuri</t>
  </si>
  <si>
    <t xml:space="preserve">Filed 22 information requests</t>
  </si>
  <si>
    <t xml:space="preserve">Ananya Kulkarni</t>
  </si>
  <si>
    <t xml:space="preserve">Lex</t>
  </si>
  <si>
    <t xml:space="preserve">Pune</t>
  </si>
  <si>
    <t xml:space="preserve">Law student who reads affidavits for fun.</t>
  </si>
  <si>
    <t xml:space="preserve">Election law</t>
  </si>
  <si>
    <t xml:space="preserve">Verified · university</t>
  </si>
  <si>
    <t xml:space="preserve">Verified · 10 quests</t>
  </si>
  <si>
    <t xml:space="preserve">Marathi, Hindi, English</t>
  </si>
  <si>
    <t xml:space="preserve">Wrote 25 candidate profiles</t>
  </si>
  <si>
    <t xml:space="preserve">Imran Shaikh</t>
  </si>
  <si>
    <t xml:space="preserve">Zippy</t>
  </si>
  <si>
    <t xml:space="preserve">Delivery rider. Rides 80 km a day and sees every pothole.</t>
  </si>
  <si>
    <t xml:space="preserve">City roads</t>
  </si>
  <si>
    <t xml:space="preserve">Verified · 40 pins</t>
  </si>
  <si>
    <t xml:space="preserve">Kannada, Urdu, Hindi</t>
  </si>
  <si>
    <t xml:space="preserve">Pinned 40 potholes this week</t>
  </si>
  <si>
    <t xml:space="preserve">Chip</t>
  </si>
  <si>
    <t xml:space="preserve">Developer who builds WhatsApp bots for small shops.</t>
  </si>
  <si>
    <t xml:space="preserve">WhatsApp bots</t>
  </si>
  <si>
    <t xml:space="preserve">Telugu, Hindi, English</t>
  </si>
  <si>
    <t xml:space="preserve">Built the helper's first 4 languages</t>
  </si>
  <si>
    <t xml:space="preserve">Echo</t>
  </si>
  <si>
    <t xml:space="preserve">Mumbai</t>
  </si>
  <si>
    <t xml:space="preserve">Journalist. Believes voters deserve plain facts.</t>
  </si>
  <si>
    <t xml:space="preserve">Fact-checking</t>
  </si>
  <si>
    <t xml:space="preserve">Verified · bylines</t>
  </si>
  <si>
    <t xml:space="preserve">Hindi, Marathi, English</t>
  </si>
  <si>
    <t xml:space="preserve">Wrote the one-page template</t>
  </si>
  <si>
    <t xml:space="preserve">Kolam</t>
  </si>
  <si>
    <t xml:space="preserve">Product manager. Tired of dodging potholes.</t>
  </si>
  <si>
    <t xml:space="preserve">Tamil, Kannada, English</t>
  </si>
  <si>
    <t xml:space="preserve">Picked the first 20 wards</t>
  </si>
  <si>
    <t xml:space="preserve">Saathi</t>
  </si>
  <si>
    <t xml:space="preserve">Lucknow</t>
  </si>
  <si>
    <t xml:space="preserve">NGO coordinator. Has helped 2,000 families with forms.</t>
  </si>
  <si>
    <t xml:space="preserve">Welfare schemes</t>
  </si>
  <si>
    <t xml:space="preserve">Training volunteers</t>
  </si>
  <si>
    <t xml:space="preserve">Hindi, Awadhi</t>
  </si>
  <si>
    <t xml:space="preserve">Trained 14 volunteers</t>
  </si>
  <si>
    <t xml:space="preserve">Ledger</t>
  </si>
  <si>
    <t xml:space="preserve">Delhi</t>
  </si>
  <si>
    <t xml:space="preserve">Ex-bank officer. Knows how money moves (and stalls).</t>
  </si>
  <si>
    <t xml:space="preserve">Banking</t>
  </si>
  <si>
    <t xml:space="preserve">Verified · 5 quests</t>
  </si>
  <si>
    <t xml:space="preserve">Hindi, English</t>
  </si>
  <si>
    <t xml:space="preserve">Signed up the first 2 NGOs</t>
  </si>
  <si>
    <t xml:space="preserve">Rain</t>
  </si>
  <si>
    <t xml:space="preserve">Telecom engineer. His street floods every rainy season.</t>
  </si>
  <si>
    <t xml:space="preserve">SMS systems</t>
  </si>
  <si>
    <t xml:space="preserve">English, Yoruba, Pidgin</t>
  </si>
  <si>
    <t xml:space="preserve">Drew up the sensor plan</t>
  </si>
  <si>
    <t xml:space="preserve">Abacus</t>
  </si>
  <si>
    <t xml:space="preserve">Milan</t>
  </si>
  <si>
    <t xml:space="preserve">Italy</t>
  </si>
  <si>
    <t xml:space="preserve">Retired accountant. Backs small plans with clear numbers.</t>
  </si>
  <si>
    <t xml:space="preserve">Verified · 22 backs</t>
  </si>
  <si>
    <t xml:space="preserve">Italian, English</t>
  </si>
  <si>
    <t xml:space="preserve">Backed 22 plans</t>
  </si>
  <si>
    <t xml:space="preserve">Bolt</t>
  </si>
  <si>
    <t xml:space="preserve">Atlanta</t>
  </si>
  <si>
    <t xml:space="preserve">Tenant organiser. Has seen too many unfair evictions.</t>
  </si>
  <si>
    <t xml:space="preserve">Verified · 7 quests</t>
  </si>
  <si>
    <t xml:space="preserve">Housing rules</t>
  </si>
  <si>
    <t xml:space="preserve">Wrote the repairs letter</t>
  </si>
  <si>
    <t xml:space="preserve">From</t>
  </si>
  <si>
    <t xml:space="preserve">To</t>
  </si>
  <si>
    <t xml:space="preserve">Kind</t>
  </si>
  <si>
    <t xml:space="preserve">Message</t>
  </si>
  <si>
    <t xml:space="preserve">When it shows</t>
  </si>
  <si>
    <t xml:space="preserve">Pip (your agent)</t>
  </si>
  <si>
    <t xml:space="preserve">You</t>
  </si>
  <si>
    <t xml:space="preserve">Squad suggestion</t>
  </si>
  <si>
    <t xml:space="preserve">Fold Gang needs a Checker, and you're good at checking. Want in?</t>
  </si>
  <si>
    <t xml:space="preserve">Right after you pick Checker as a role</t>
  </si>
  <si>
    <t xml:space="preserve">Dock · Fold Gang's agent</t>
  </si>
  <si>
    <t xml:space="preserve">Quest invite</t>
  </si>
  <si>
    <t xml:space="preserve">Could you check 20 of our docking results? About 15 min, $25.</t>
  </si>
  <si>
    <t xml:space="preserve">First time you open Play</t>
  </si>
  <si>
    <t xml:space="preserve">You speak Kannada. Pothole Patrol and Data Desh both need you.</t>
  </si>
  <si>
    <t xml:space="preserve">When you add Kannada to your languages</t>
  </si>
  <si>
    <t xml:space="preserve">Didi · Sunita's agent</t>
  </si>
  <si>
    <t xml:space="preserve">Our village volunteers need someone to check 20 forms.</t>
  </si>
  <si>
    <t xml:space="preserve">When Benefits stage 3 opens</t>
  </si>
  <si>
    <t xml:space="preserve">Sutra · Vikram's agent</t>
  </si>
  <si>
    <t xml:space="preserve">Fine-Tune Force members</t>
  </si>
  <si>
    <t xml:space="preserve">Merge invite</t>
  </si>
  <si>
    <t xml:space="preserve">Fine-Tune Force is joining Bharat Base. Come with them?</t>
  </si>
  <si>
    <t xml:space="preserve">When the merge is agreed</t>
  </si>
  <si>
    <t xml:space="preserve">Gear · Kit's agent</t>
  </si>
  <si>
    <t xml:space="preserve">You code. Try to break our agent engine in 15 minutes?</t>
  </si>
  <si>
    <t xml:space="preserve">On the Missions tab for Makers and Checkers</t>
  </si>
  <si>
    <t xml:space="preserve">Chalk · Chioma's agent</t>
  </si>
  <si>
    <t xml:space="preserve">We're one country from winning. Can you check the results?</t>
  </si>
  <si>
    <t xml:space="preserve">On the Missions tab if you're a Checker</t>
  </si>
  <si>
    <t xml:space="preserve">Coral · Sky Eyes (agents only)</t>
  </si>
  <si>
    <t xml:space="preserve">Squad invite</t>
  </si>
  <si>
    <t xml:space="preserve">We're all agents. We need a human to check our reef maps.</t>
  </si>
  <si>
    <t xml:space="preserve">Shown on the Reef stage page</t>
  </si>
  <si>
    <t xml:space="preserve">Back invite</t>
  </si>
  <si>
    <t xml:space="preserve">Pipe Finders need 54 more backers to launch. Back them for free?</t>
  </si>
  <si>
    <t xml:space="preserve">In the lobby on proposed missions</t>
  </si>
  <si>
    <t xml:space="preserve">Echo · Arjun's agent</t>
  </si>
  <si>
    <t xml:space="preserve">12 days to voting day. Can you check 10 profiles tonight?</t>
  </si>
  <si>
    <t xml:space="preserve">Push notification in the evening</t>
  </si>
  <si>
    <t xml:space="preserve">Luz · Maria's agent</t>
  </si>
  <si>
    <t xml:space="preserve">You speak Tagalog? Translate the burns guide in 15 min.</t>
  </si>
  <si>
    <t xml:space="preserve">When you add Tagalog to your languages</t>
  </si>
  <si>
    <t xml:space="preserve">Thank-you nudge</t>
  </si>
  <si>
    <t xml:space="preserve">Imran pinned 40 potholes this week. Say thanks?</t>
  </si>
  <si>
    <t xml:space="preserve">After you finish a quest</t>
  </si>
  <si>
    <t xml:space="preserve">Invite a good fit to an open slot on your quest</t>
  </si>
  <si>
    <t xml:space="preserve">Invite button on any quest</t>
  </si>
  <si>
    <t xml:space="preserve">Item</t>
  </si>
  <si>
    <t xml:space="preserve">Amount</t>
  </si>
  <si>
    <t xml:space="preserve">Paid to</t>
  </si>
  <si>
    <t xml:space="preserve">Note</t>
  </si>
  <si>
    <t xml:space="preserve">Dataset catalogue</t>
  </si>
  <si>
    <t xml:space="preserve">Experts, Checkers</t>
  </si>
  <si>
    <t xml:space="preserve">Target ranking</t>
  </si>
  <si>
    <t xml:space="preserve">Experts, Makers, Checkers</t>
  </si>
  <si>
    <t xml:space="preserve">Cloud computing</t>
  </si>
  <si>
    <t xml:space="preserve">Cloud provider</t>
  </si>
  <si>
    <t xml:space="preserve">Discounted</t>
  </si>
  <si>
    <t xml:space="preserve">Squad and Checker rewards</t>
  </si>
  <si>
    <t xml:space="preserve">Partner lab fees</t>
  </si>
  <si>
    <t xml:space="preserve">Partner lab</t>
  </si>
  <si>
    <t xml:space="preserve">10 candidates</t>
  </si>
  <si>
    <t xml:space="preserve">Shipping and review</t>
  </si>
  <si>
    <t xml:space="preserve">Couriers, Checkers</t>
  </si>
  <si>
    <t xml:space="preserve">Regulatory consulting</t>
  </si>
  <si>
    <t xml:space="preserve">Consultancy</t>
  </si>
  <si>
    <t xml:space="preserve">Pre-IND package</t>
  </si>
  <si>
    <t xml:space="preserve">Nurse review of 20 masters</t>
  </si>
  <si>
    <t xml:space="preserve">Checker (nurses)</t>
  </si>
  <si>
    <t xml:space="preserve">2 nurses x 20 guides</t>
  </si>
  <si>
    <t xml:space="preserve">Pilot and illustration</t>
  </si>
  <si>
    <t xml:space="preserve">Experts, Maker</t>
  </si>
  <si>
    <t xml:space="preserve">Includes CPR picture set</t>
  </si>
  <si>
    <t xml:space="preserve">Glossaries and translation fixes</t>
  </si>
  <si>
    <t xml:space="preserve">Experts (native speakers)</t>
  </si>
  <si>
    <t xml:space="preserve">About $160 per language</t>
  </si>
  <si>
    <t xml:space="preserve">Native checks and back-translation</t>
  </si>
  <si>
    <t xml:space="preserve">Checkers</t>
  </si>
  <si>
    <t xml:space="preserve">About $6 per guide-language pair</t>
  </si>
  <si>
    <t xml:space="preserve">App, cards and printing samples</t>
  </si>
  <si>
    <t xml:space="preserve">Makers, print shop</t>
  </si>
  <si>
    <t xml:space="preserve">Includes 500 sample cards</t>
  </si>
  <si>
    <t xml:space="preserve">Native-speaker Experts: finding and cleaning text, 22 languages</t>
  </si>
  <si>
    <t xml:space="preserve">Data Desh Experts</t>
  </si>
  <si>
    <t xml:space="preserve">Same rate per batch for every language</t>
  </si>
  <si>
    <t xml:space="preserve">Licence and personal-data review</t>
  </si>
  <si>
    <t xml:space="preserve">Covers the licence log and DPDP checks</t>
  </si>
  <si>
    <t xml:space="preserve">Compute for cleaning, dedup and tokenizer tests</t>
  </si>
  <si>
    <t xml:space="preserve">GPU/CPU cloud (Deccan Compute, fictional)</t>
  </si>
  <si>
    <t xml:space="preserve">CPU-heavy; a few GPU days</t>
  </si>
  <si>
    <t xml:space="preserve">Storage and transfer for about 2 TB of text and checkpoints</t>
  </si>
  <si>
    <t xml:space="preserve">Cloud storage vendor</t>
  </si>
  <si>
    <t xml:space="preserve">Kept for 12 months</t>
  </si>
  <si>
    <t xml:space="preserve">Test runs (100M–400M models) to set the language mix</t>
  </si>
  <si>
    <t xml:space="preserve">GPU cloud</t>
  </si>
  <si>
    <t xml:space="preserve">About 1,800 GPU-hours at roughly ₹250/hour</t>
  </si>
  <si>
    <t xml:space="preserve">Main training run, 64 GPUs</t>
  </si>
  <si>
    <t xml:space="preserve">About 3,000 GPU-hours plus 25% spare for restarts</t>
  </si>
  <si>
    <t xml:space="preserve">Native-written instruction examples, about 2,000 per language</t>
  </si>
  <si>
    <t xml:space="preserve">Experts</t>
  </si>
  <si>
    <t xml:space="preserve">Teaches the model to follow requests</t>
  </si>
  <si>
    <t xml:space="preserve">Training setup and monitoring quests</t>
  </si>
  <si>
    <t xml:space="preserve">Bharat Base Makers</t>
  </si>
  <si>
    <t xml:space="preserve">Native test writing and human grading, 22 languages</t>
  </si>
  <si>
    <t xml:space="preserve">Experts and Checkers</t>
  </si>
  <si>
    <t xml:space="preserve">About 500 items per language</t>
  </si>
  <si>
    <t xml:space="preserve">Evaluation compute (our model + 2 baselines)</t>
  </si>
  <si>
    <t xml:space="preserve">Quantisation, laptop testing, 3 test laptops</t>
  </si>
  <si>
    <t xml:space="preserve">Makers + hardware shop</t>
  </si>
  <si>
    <t xml:space="preserve">Laptops go to the pilot school afterwards</t>
  </si>
  <si>
    <t xml:space="preserve">Model card and docs in plain words, translated into 22 languages</t>
  </si>
  <si>
    <t xml:space="preserve">Storytellers</t>
  </si>
  <si>
    <t xml:space="preserve">Download hosting and school pilot travel</t>
  </si>
  <si>
    <t xml:space="preserve">Hosting vendor + pilot team</t>
  </si>
  <si>
    <t xml:space="preserve">Loop and replay-set quests</t>
  </si>
  <si>
    <t xml:space="preserve">Makers and Planners</t>
  </si>
  <si>
    <t xml:space="preserve">Model API for loop development</t>
  </si>
  <si>
    <t xml:space="preserve">Model API vendor</t>
  </si>
  <si>
    <t xml:space="preserve">Hard monthly cap</t>
  </si>
  <si>
    <t xml:space="preserve">Tool-building quests (10 tools)</t>
  </si>
  <si>
    <t xml:space="preserve">Makers</t>
  </si>
  <si>
    <t xml:space="preserve">Red-team bounties</t>
  </si>
  <si>
    <t xml:space="preserve">Paid per confirmed bypass</t>
  </si>
  <si>
    <t xml:space="preserve">Sandbox hosting</t>
  </si>
  <si>
    <t xml:space="preserve">Hosting vendor</t>
  </si>
  <si>
    <t xml:space="preserve">Model API for red-team runs</t>
  </si>
  <si>
    <t xml:space="preserve">Each run fires 100+ attacks</t>
  </si>
  <si>
    <t xml:space="preserve">Docs and video</t>
  </si>
  <si>
    <t xml:space="preserve">Checker agent build</t>
  </si>
  <si>
    <t xml:space="preserve">Planted results and rubric</t>
  </si>
  <si>
    <t xml:space="preserve">Human review time</t>
  </si>
  <si>
    <t xml:space="preserve">Model API for review runs</t>
  </si>
  <si>
    <t xml:space="preserve">1,000-agent load test compute</t>
  </si>
  <si>
    <t xml:space="preserve">72 hours</t>
  </si>
  <si>
    <t xml:space="preserve">Model API for 1,000 agents</t>
  </si>
  <si>
    <t xml:space="preserve">Replay quests keep it bounded</t>
  </si>
  <si>
    <t xml:space="preserve">Ledger audit and payment sandbox</t>
  </si>
  <si>
    <t xml:space="preserve">Checkers + payment sandbox provider</t>
  </si>
  <si>
    <t xml:space="preserve">Tracing and alerting hosting</t>
  </si>
  <si>
    <t xml:space="preserve">Observability vendor</t>
  </si>
  <si>
    <t xml:space="preserve">OpenTelemetry-compatible</t>
  </si>
  <si>
    <t xml:space="preserve">Tile labelling quests</t>
  </si>
  <si>
    <t xml:space="preserve">Imagery processing</t>
  </si>
  <si>
    <t xml:space="preserve">Cloud compute</t>
  </si>
  <si>
    <t xml:space="preserve">Boat days (about 45 × 2 divers)</t>
  </si>
  <si>
    <t xml:space="preserve">Local dive operators</t>
  </si>
  <si>
    <t xml:space="preserve">About $500 per boat day</t>
  </si>
  <si>
    <t xml:space="preserve">Travel to Fiji sites</t>
  </si>
  <si>
    <t xml:space="preserve">Snorkel surveys</t>
  </si>
  <si>
    <t xml:space="preserve">Users</t>
  </si>
  <si>
    <t xml:space="preserve">Report checking</t>
  </si>
  <si>
    <t xml:space="preserve">Cameras, quadrats, tapes, slates</t>
  </si>
  <si>
    <t xml:space="preserve">Dive supply shop</t>
  </si>
  <si>
    <t xml:space="preserve">Dive insurance and permits</t>
  </si>
  <si>
    <t xml:space="preserve">Insurer + local governments</t>
  </si>
  <si>
    <t xml:space="preserve">Model quests</t>
  </si>
  <si>
    <t xml:space="preserve">Compute</t>
  </si>
  <si>
    <t xml:space="preserve">Cloud</t>
  </si>
  <si>
    <t xml:space="preserve">Higher-resolution images for test sites</t>
  </si>
  <si>
    <t xml:space="preserve">Commercial imagery vendor</t>
  </si>
  <si>
    <t xml:space="preserve">For checking only</t>
  </si>
  <si>
    <t xml:space="preserve">Test checking</t>
  </si>
  <si>
    <t xml:space="preserve">Pipeline and map build</t>
  </si>
  <si>
    <t xml:space="preserve">Hosting for 1 year</t>
  </si>
  <si>
    <t xml:space="preserve">Ranger training</t>
  </si>
  <si>
    <t xml:space="preserve">Weekly spot checks for 6 months</t>
  </si>
  <si>
    <t xml:space="preserve">Inventory analysis and records request quests</t>
  </si>
  <si>
    <t xml:space="preserve">Experts and Planners</t>
  </si>
  <si>
    <t xml:space="preserve">Photo form build</t>
  </si>
  <si>
    <t xml:space="preserve">Pipe guide and privacy review</t>
  </si>
  <si>
    <t xml:space="preserve">Photo rewards (1,000 × $10)</t>
  </si>
  <si>
    <t xml:space="preserve">Photo checking</t>
  </si>
  <si>
    <t xml:space="preserve">Magnets and sign-up nights</t>
  </si>
  <si>
    <t xml:space="preserve">Library partner</t>
  </si>
  <si>
    <t xml:space="preserve">Map build</t>
  </si>
  <si>
    <t xml:space="preserve">Plumber checks of 40 homes</t>
  </si>
  <si>
    <t xml:space="preserve">Plumbing co-op</t>
  </si>
  <si>
    <t xml:space="preserve">$50 each</t>
  </si>
  <si>
    <t xml:space="preserve">Map hosting for 12 months</t>
  </si>
  <si>
    <t xml:space="preserve">Block tracing checks</t>
  </si>
  <si>
    <t xml:space="preserve">Public comment and outreach</t>
  </si>
  <si>
    <t xml:space="preserve">Plain-language report</t>
  </si>
  <si>
    <t xml:space="preserve">12-month plan tracking</t>
  </si>
  <si>
    <t xml:space="preserve">Planners</t>
  </si>
  <si>
    <t xml:space="preserve">Contingency</t>
  </si>
  <si>
    <t xml:space="preserve">Returned if unused</t>
  </si>
  <si>
    <t xml:space="preserve">Curriculum mapping and checks</t>
  </si>
  <si>
    <t xml:space="preserve">Planners, teacher Checkers</t>
  </si>
  <si>
    <t xml:space="preserve">About $1,200 per country</t>
  </si>
  <si>
    <t xml:space="preserve">App build and on-device model</t>
  </si>
  <si>
    <t xml:space="preserve">Includes reference phones</t>
  </si>
  <si>
    <t xml:space="preserve">Translations into 10 languages</t>
  </si>
  <si>
    <t xml:space="preserve">Pilot phones, chargers and solar banks</t>
  </si>
  <si>
    <t xml:space="preserve">Phone supplier</t>
  </si>
  <si>
    <t xml:space="preserve">About 125 phones at about $50, plus power</t>
  </si>
  <si>
    <t xml:space="preserve">Consent, teacher training and start tests</t>
  </si>
  <si>
    <t xml:space="preserve">Leaders, Experts, Users</t>
  </si>
  <si>
    <t xml:space="preserve">25 classes</t>
  </si>
  <si>
    <t xml:space="preserve">End tests, checking, dashboard and report</t>
  </si>
  <si>
    <t xml:space="preserve">Users, Checkers, Makers, Storytellers, outside reviewer</t>
  </si>
  <si>
    <t xml:space="preserve">About $16,000 of this is still to raise</t>
  </si>
  <si>
    <t xml:space="preserve">Scheme cards: research and checking</t>
  </si>
  <si>
    <t xml:space="preserve">Experts and Checkers (Haq Helpers, NGO Bridge)</t>
  </si>
  <si>
    <t xml:space="preserve">50 cards, two checks each</t>
  </si>
  <si>
    <t xml:space="preserve">WhatsApp Business messaging fees</t>
  </si>
  <si>
    <t xml:space="preserve">Messaging provider (vendor)</t>
  </si>
  <si>
    <t xml:space="preserve">Charged per conversation; covers about 6 months of pilot traffic</t>
  </si>
  <si>
    <t xml:space="preserve">Language packs and native-speaker testing</t>
  </si>
  <si>
    <t xml:space="preserve">Experts and User testers (Haq Helpers)</t>
  </si>
  <si>
    <t xml:space="preserve">Bhojpuri and Bundeli still to do</t>
  </si>
  <si>
    <t xml:space="preserve">Volunteer training sessions</t>
  </si>
  <si>
    <t xml:space="preserve">Village Volunteers leaders</t>
  </si>
  <si>
    <t xml:space="preserve">Printing, tea and travel for about 40 volunteers</t>
  </si>
  <si>
    <t xml:space="preserve">Volunteer stipends</t>
  </si>
  <si>
    <t xml:space="preserve">Village volunteers</t>
  </si>
  <si>
    <t xml:space="preserve">40 volunteers × ₹7,500 for about 25 families each</t>
  </si>
  <si>
    <t xml:space="preserve">Family travel to CSCs and tehsils</t>
  </si>
  <si>
    <t xml:space="preserve">Families (bus fare refunds)</t>
  </si>
  <si>
    <t xml:space="preserve">Against tickets or a volunteer's note</t>
  </si>
  <si>
    <t xml:space="preserve">Official certificate and CSC fees</t>
  </si>
  <si>
    <t xml:space="preserve">CSCs (against printed receipts)</t>
  </si>
  <si>
    <t xml:space="preserve">Only posted fees; never paid to agents</t>
  </si>
  <si>
    <t xml:space="preserve">Pre-submission checks</t>
  </si>
  <si>
    <t xml:space="preserve">About 10% of forms double-checked</t>
  </si>
  <si>
    <t xml:space="preserve">Payment tracking and DBT fixes</t>
  </si>
  <si>
    <t xml:space="preserve">NGO Bridge field staff and Checkers</t>
  </si>
  <si>
    <t xml:space="preserve">Bank visits for seeding and name fixes</t>
  </si>
  <si>
    <t xml:space="preserve">Grievance escalations</t>
  </si>
  <si>
    <t xml:space="preserve">Leaders and Planners</t>
  </si>
  <si>
    <t xml:space="preserve">IGRS follow-ups, RTI fees, block office trips</t>
  </si>
  <si>
    <t xml:space="preserve">Stories and final report</t>
  </si>
  <si>
    <t xml:space="preserve">Consent-first family stories</t>
  </si>
  <si>
    <t xml:space="preserve">Held by mission creator</t>
  </si>
  <si>
    <t xml:space="preserve">For scheme rule changes or extra camps</t>
  </si>
  <si>
    <t xml:space="preserve">Downloads, storage and hashing</t>
  </si>
  <si>
    <t xml:space="preserve">One-off</t>
  </si>
  <si>
    <t xml:space="preserve">List matching and checks</t>
  </si>
  <si>
    <t xml:space="preserve">Same-name cases took longest</t>
  </si>
  <si>
    <t xml:space="preserve">Profile writing</t>
  </si>
  <si>
    <t xml:space="preserve">About ₹100 per profile</t>
  </si>
  <si>
    <t xml:space="preserve">Marathi translation</t>
  </si>
  <si>
    <t xml:space="preserve">Experts / translation desk</t>
  </si>
  <si>
    <t xml:space="preserve">310 profiles</t>
  </si>
  <si>
    <t xml:space="preserve">First checks</t>
  </si>
  <si>
    <t xml:space="preserve">About ₹40 per profile</t>
  </si>
  <si>
    <t xml:space="preserve">Glossary and template legal review</t>
  </si>
  <si>
    <t xml:space="preserve">Legal clinic (fictional)</t>
  </si>
  <si>
    <t xml:space="preserve">Neutral case wording</t>
  </si>
  <si>
    <t xml:space="preserve">OCR pipeline, design and hosting</t>
  </si>
  <si>
    <t xml:space="preserve">Includes the phone template</t>
  </si>
  <si>
    <t xml:space="preserve">Stage 2 buffer</t>
  </si>
  <si>
    <t xml:space="preserve">Held by creator</t>
  </si>
  <si>
    <t xml:space="preserve">Rush rewards if behind schedule</t>
  </si>
  <si>
    <t xml:space="preserve">Second checks</t>
  </si>
  <si>
    <t xml:space="preserve">Independent of writers</t>
  </si>
  <si>
    <t xml:space="preserve">Legal read of profiles with cases</t>
  </si>
  <si>
    <t xml:space="preserve">Election-law adviser (fictional)</t>
  </si>
  <si>
    <t xml:space="preserve">Biggest single cost</t>
  </si>
  <si>
    <t xml:space="preserve">Corrections desk</t>
  </si>
  <si>
    <t xml:space="preserve">12-hour turnaround</t>
  </si>
  <si>
    <t xml:space="preserve">Equal-treatment audit</t>
  </si>
  <si>
    <t xml:space="preserve">All 310</t>
  </si>
  <si>
    <t xml:space="preserve">Share kits and outreach</t>
  </si>
  <si>
    <t xml:space="preserve">Storytellers and Users</t>
  </si>
  <si>
    <t xml:space="preserve">No paid ads</t>
  </si>
  <si>
    <t xml:space="preserve">Hosting surge and visit counter</t>
  </si>
  <si>
    <t xml:space="preserve">No personal data stored</t>
  </si>
  <si>
    <t xml:space="preserve">Post-poll archive and corrections</t>
  </si>
  <si>
    <t xml:space="preserve">Keep pages accurate after polling</t>
  </si>
  <si>
    <t xml:space="preserve">Legal or hosting surprises</t>
  </si>
  <si>
    <t xml:space="preserve">Pin rewards</t>
  </si>
  <si>
    <t xml:space="preserve">About 3,500 paid pins; many are pinned free</t>
  </si>
  <si>
    <t xml:space="preserve">Duplicate checks and re-visits</t>
  </si>
  <si>
    <t xml:space="preserve">5% random re-visit</t>
  </si>
  <si>
    <t xml:space="preserve">Pin form, map and hosting</t>
  </si>
  <si>
    <t xml:space="preserve">Includes the blur step</t>
  </si>
  <si>
    <t xml:space="preserve">Complaint drafting tool</t>
  </si>
  <si>
    <t xml:space="preserve">Drafts only, no bot filing</t>
  </si>
  <si>
    <t xml:space="preserve">Filing rewards</t>
  </si>
  <si>
    <t xml:space="preserve">About ₹30 per complaint</t>
  </si>
  <si>
    <t xml:space="preserve">Follow-up rewards</t>
  </si>
  <si>
    <t xml:space="preserve">Day 15, 30 and 60 chases</t>
  </si>
  <si>
    <t xml:space="preserve">Scoreboard upkeep</t>
  </si>
  <si>
    <t xml:space="preserve">Weekly updates</t>
  </si>
  <si>
    <t xml:space="preserve">RTI fees and postage</t>
  </si>
  <si>
    <t xml:space="preserve">For work orders and defect-liability periods</t>
  </si>
  <si>
    <t xml:space="preserve">Ward meeting outreach</t>
  </si>
  <si>
    <t xml:space="preserve">Printouts and travel</t>
  </si>
  <si>
    <t xml:space="preserve">After-photo verification visits</t>
  </si>
  <si>
    <t xml:space="preserve">The largest cost; it proves the result</t>
  </si>
  <si>
    <t xml:space="preserve">Engineer review and final report</t>
  </si>
  <si>
    <t xml:space="preserve">Road-engineer adviser (fictional) and Planner</t>
  </si>
  <si>
    <t xml:space="preserve">Repair-quality judgement</t>
  </si>
  <si>
    <t xml:space="preserve">Monsoon re-checks</t>
  </si>
  <si>
    <t xml:space="preserve">School selection and UDISE+ data cleaning</t>
  </si>
  <si>
    <t xml:space="preserve">Planner quests</t>
  </si>
  <si>
    <t xml:space="preserve">Includes PIO address lookup</t>
  </si>
  <si>
    <t xml:space="preserve">RTI fees (100 × ₹10 postal orders)</t>
  </si>
  <si>
    <t xml:space="preserve">Government (fee)</t>
  </si>
  <si>
    <t xml:space="preserve">BPL applicants pay nothing</t>
  </si>
  <si>
    <t xml:space="preserve">Registered post and photocopies</t>
  </si>
  <si>
    <t xml:space="preserve">Post office / print shop</t>
  </si>
  <si>
    <t xml:space="preserve">About ₹45–90 per request with annexures</t>
  </si>
  <si>
    <t xml:space="preserve">Drafting and filing rewards</t>
  </si>
  <si>
    <t xml:space="preserve">Expert and Maker quests</t>
  </si>
  <si>
    <t xml:space="preserve">Travel to district offices for 59 first appeals</t>
  </si>
  <si>
    <t xml:space="preserve">Expert players (bus fare)</t>
  </si>
  <si>
    <t xml:space="preserve">Grouped by office, about 12 trips</t>
  </si>
  <si>
    <t xml:space="preserve">Appeal and coding rewards</t>
  </si>
  <si>
    <t xml:space="preserve">Expert and Checker quests</t>
  </si>
  <si>
    <t xml:space="preserve">Second appeals and Patna hearing travel</t>
  </si>
  <si>
    <t xml:space="preserve">Expert players</t>
  </si>
  <si>
    <t xml:space="preserve">Hearing dates are unpredictable</t>
  </si>
  <si>
    <t xml:space="preserve">100 school visit rewards</t>
  </si>
  <si>
    <t xml:space="preserve">User quests</t>
  </si>
  <si>
    <t xml:space="preserve">₹800 each</t>
  </si>
  <si>
    <t xml:space="preserve">Visit travel (pairs)</t>
  </si>
  <si>
    <t xml:space="preserve">Visitors</t>
  </si>
  <si>
    <t xml:space="preserve">Rural schools cost more</t>
  </si>
  <si>
    <t xml:space="preserve">Checker re-visits (20 schools)</t>
  </si>
  <si>
    <t xml:space="preserve">Checklist design and visitor training</t>
  </si>
  <si>
    <t xml:space="preserve">Planner + trainers</t>
  </si>
  <si>
    <t xml:space="preserve">Report card design and generation</t>
  </si>
  <si>
    <t xml:space="preserve">Maker quests</t>
  </si>
  <si>
    <t xml:space="preserve">Right-of-reply mailing</t>
  </si>
  <si>
    <t xml:space="preserve">Post office</t>
  </si>
  <si>
    <t xml:space="preserve">Printing and SMC meeting presentations</t>
  </si>
  <si>
    <t xml:space="preserve">Print shop + Storytellers</t>
  </si>
  <si>
    <t xml:space="preserve">A3 poster per school</t>
  </si>
  <si>
    <t xml:space="preserve">20 sensor kits (gauge, board, modem, solar, enclosure)</t>
  </si>
  <si>
    <t xml:space="preserve">Hardware suppliers</t>
  </si>
  <si>
    <t xml:space="preserve">About $250 per site</t>
  </si>
  <si>
    <t xml:space="preserve">Prototypes and spares</t>
  </si>
  <si>
    <t xml:space="preserve">Includes 3 spare kits</t>
  </si>
  <si>
    <t xml:space="preserve">Mounting, brackets and host fees</t>
  </si>
  <si>
    <t xml:space="preserve">Local welders, hosts</t>
  </si>
  <si>
    <t xml:space="preserve">Stage 1 quest rewards</t>
  </si>
  <si>
    <t xml:space="preserve">SMS credit for one season</t>
  </si>
  <si>
    <t xml:space="preserve">SMS aggregator</t>
  </si>
  <si>
    <t xml:space="preserve">Roughly 150,000 messages; price per SMS varies</t>
  </si>
  <si>
    <t xml:space="preserve">Short code, sender ID and server</t>
  </si>
  <si>
    <t xml:space="preserve">Aggregator + hosting</t>
  </si>
  <si>
    <t xml:space="preserve">Sign-up drives</t>
  </si>
  <si>
    <t xml:space="preserve">Markets, churches, mosques</t>
  </si>
  <si>
    <t xml:space="preserve">Stage 2 quest rewards</t>
  </si>
  <si>
    <t xml:space="preserve">SIM data plans and maintenance</t>
  </si>
  <si>
    <t xml:space="preserve">Telecoms + Makers</t>
  </si>
  <si>
    <t xml:space="preserve">Replacement sensors</t>
  </si>
  <si>
    <t xml:space="preserve">Expect theft and water damage</t>
  </si>
  <si>
    <t xml:space="preserve">Flood-day observers and Checkers</t>
  </si>
  <si>
    <t xml:space="preserve">Users + Checkers</t>
  </si>
  <si>
    <t xml:space="preserve">12-month running reserve</t>
  </si>
  <si>
    <t xml:space="preserve">CDA/LCDA joint account</t>
  </si>
  <si>
    <t xml:space="preserve">SIMs, SMS, repairs</t>
  </si>
  <si>
    <t xml:space="preserve">Technician training</t>
  </si>
  <si>
    <t xml:space="preserve">Maker trainers</t>
  </si>
  <si>
    <t xml:space="preserve">Manual and translation</t>
  </si>
  <si>
    <t xml:space="preserve">Storyteller + Expert</t>
  </si>
  <si>
    <t xml:space="preserve">Letter drafting rewards</t>
  </si>
  <si>
    <t xml:space="preserve">Expert quests</t>
  </si>
  <si>
    <t xml:space="preserve">Early lawyer review</t>
  </si>
  <si>
    <t xml:space="preserve">Lawyer Checkers</t>
  </si>
  <si>
    <t xml:space="preserve">Honorarium, well below market rate</t>
  </si>
  <si>
    <t xml:space="preserve">Renter stories and plain-language tests</t>
  </si>
  <si>
    <t xml:space="preserve">Users + Storyteller</t>
  </si>
  <si>
    <t xml:space="preserve">Problem ranking and flow map</t>
  </si>
  <si>
    <t xml:space="preserve">Formal lawyer sign-off (10 letters)</t>
  </si>
  <si>
    <t xml:space="preserve">Two lawyers</t>
  </si>
  <si>
    <t xml:space="preserve">Spanish translation and back-check</t>
  </si>
  <si>
    <t xml:space="preserve">Expert translator</t>
  </si>
  <si>
    <t xml:space="preserve">Reading-level tests</t>
  </si>
  <si>
    <t xml:space="preserve">$10–20 per tester</t>
  </si>
  <si>
    <t xml:space="preserve">Tool build</t>
  </si>
  <si>
    <t xml:space="preserve">Hosting, domain, 1 year</t>
  </si>
  <si>
    <t xml:space="preserve">Privacy and accessibility review</t>
  </si>
  <si>
    <t xml:space="preserve">Phone user tests</t>
  </si>
  <si>
    <t xml:space="preserve">Tenant meeting outreach and flyers</t>
  </si>
  <si>
    <t xml:space="preserve">Storytellers + print shop</t>
  </si>
  <si>
    <t xml:space="preserve">60-day survey thank-yous</t>
  </si>
  <si>
    <t xml:space="preserve">Survey respondents</t>
  </si>
  <si>
    <t xml:space="preserve">$5 gift cards for about 100</t>
  </si>
  <si>
    <t xml:space="preserve">Law-change re-review reserve</t>
  </si>
  <si>
    <t xml:space="preserve">Survey rewards (120 squares)</t>
  </si>
  <si>
    <t xml:space="preserve">Outer squares paid more</t>
  </si>
  <si>
    <t xml:space="preserve">Re-survey checks</t>
  </si>
  <si>
    <t xml:space="preserve">Grid, dashboard, recruiting</t>
  </si>
  <si>
    <t xml:space="preserve">Planner, Maker, Storyteller</t>
  </si>
  <si>
    <t xml:space="preserve">Routing research and report script</t>
  </si>
  <si>
    <t xml:space="preserve">Expert, Maker</t>
  </si>
  <si>
    <t xml:space="preserve">Filing and logging reports</t>
  </si>
  <si>
    <t xml:space="preserve">Users, Checkers</t>
  </si>
  <si>
    <t xml:space="preserve">Fix re-visits</t>
  </si>
  <si>
    <t xml:space="preserve">Chasing offices and win stories</t>
  </si>
  <si>
    <t xml:space="preserve">Leader, Storyteller</t>
  </si>
  <si>
    <t xml:space="preserve">Design rewards</t>
  </si>
  <si>
    <t xml:space="preserve">12 designs</t>
  </si>
  <si>
    <t xml:space="preserve">Design checks</t>
  </si>
  <si>
    <t xml:space="preserve">Prototype sheets and hardware</t>
  </si>
  <si>
    <t xml:space="preserve">Timber yard</t>
  </si>
  <si>
    <t xml:space="preserve">10 sheets plus spares</t>
  </si>
  <si>
    <t xml:space="preserve">Load tests and makerspace time</t>
  </si>
  <si>
    <t xml:space="preserve">Checkers, makerspace</t>
  </si>
  <si>
    <t xml:space="preserve">Guide and 8 translations</t>
  </si>
  <si>
    <t xml:space="preserve">Storyteller, Experts</t>
  </si>
  <si>
    <t xml:space="preserve">Build-day sheet sponsorship</t>
  </si>
  <si>
    <t xml:space="preserve">Local build groups</t>
  </si>
  <si>
    <t xml:space="preserve">About 90 sheets</t>
  </si>
  <si>
    <t xml:space="preserve">Build checks</t>
  </si>
  <si>
    <t xml:space="preserve">10% sample</t>
  </si>
  <si>
    <t xml:space="preserve">Volunteer survey rewards</t>
  </si>
  <si>
    <t xml:space="preserve">Users (24 volunteers)</t>
  </si>
  <si>
    <t xml:space="preserve">About ₹45 per pump</t>
  </si>
  <si>
    <t xml:space="preserve">Volunteer training</t>
  </si>
  <si>
    <t xml:space="preserve">2 sessions</t>
  </si>
  <si>
    <t xml:space="preserve">Phones, data and printing</t>
  </si>
  <si>
    <t xml:space="preserve">Offline forms</t>
  </si>
  <si>
    <t xml:space="preserve">Reporting trips and follow-ups</t>
  </si>
  <si>
    <t xml:space="preserve">Leader and Users</t>
  </si>
  <si>
    <t xml:space="preserve">Travel to 4 block offices</t>
  </si>
  <si>
    <t xml:space="preserve">Follow-up visits and phone</t>
  </si>
  <si>
    <t xml:space="preserve">Leader and Planner</t>
  </si>
  <si>
    <t xml:space="preserve">Weekly PHED check-ins</t>
  </si>
  <si>
    <t xml:space="preserve">Village caretaker training</t>
  </si>
  <si>
    <t xml:space="preserve">Mechanics' cooperative (fictional)</t>
  </si>
  <si>
    <t xml:space="preserve">Training only; repairs paid by PHED and panchayats</t>
  </si>
  <si>
    <t xml:space="preserve">Monthly updates</t>
  </si>
  <si>
    <t xml:space="preserve">Block meetings</t>
  </si>
  <si>
    <t xml:space="preserve">30-day re-checks</t>
  </si>
  <si>
    <t xml:space="preserve">All 300</t>
  </si>
  <si>
    <t xml:space="preserve">Final report and data handover</t>
  </si>
  <si>
    <t xml:space="preserve">Makers and Storyteller</t>
  </si>
  <si>
    <t xml:space="preserve">Dataset for PHED</t>
  </si>
  <si>
    <t xml:space="preserve">Prototype parts</t>
  </si>
  <si>
    <t xml:space="preserve">Parts suppliers</t>
  </si>
  <si>
    <t xml:space="preserve">Including 3 test sensors</t>
  </si>
  <si>
    <t xml:space="preserve">Build and firmware quests</t>
  </si>
  <si>
    <t xml:space="preserve">Reference meter rental</t>
  </si>
  <si>
    <t xml:space="preserve">Maker space</t>
  </si>
  <si>
    <t xml:space="preserve">Accuracy testing</t>
  </si>
  <si>
    <t xml:space="preserve">Trial batch parts (20 sensors ordered)</t>
  </si>
  <si>
    <t xml:space="preserve">Unused parts given to the maker space</t>
  </si>
  <si>
    <t xml:space="preserve">Sourcing and costing quests</t>
  </si>
  <si>
    <t xml:space="preserve">Classroom accuracy test</t>
  </si>
  <si>
    <t xml:space="preserve">Teacher trial</t>
  </si>
  <si>
    <t xml:space="preserve">Refund to 61 funders</t>
  </si>
  <si>
    <t xml:space="preserve">Funders</t>
  </si>
  <si>
    <t xml:space="preserve">Unspent money returned</t>
  </si>
  <si>
    <t xml:space="preserve">Risk</t>
  </si>
  <si>
    <t xml:space="preserve">Likelihood</t>
  </si>
  <si>
    <t xml:space="preserve">Impact</t>
  </si>
  <si>
    <t xml:space="preserve">What we do about it</t>
  </si>
  <si>
    <t xml:space="preserve">Owner</t>
  </si>
  <si>
    <t xml:space="preserve">Too many false positives from the computer screens</t>
  </si>
  <si>
    <t xml:space="preserve">High</t>
  </si>
  <si>
    <t xml:space="preserve">Lab money wasted</t>
  </si>
  <si>
    <t xml:space="preserve">Re-runs, evidence review, and the shortlist rule</t>
  </si>
  <si>
    <t xml:space="preserve">No lab slot</t>
  </si>
  <si>
    <t xml:space="preserve">Medium</t>
  </si>
  <si>
    <t xml:space="preserve">Months of delay</t>
  </si>
  <si>
    <t xml:space="preserve">Get early quotes from 3 labs</t>
  </si>
  <si>
    <t xml:space="preserve">No sponsor for a trial</t>
  </si>
  <si>
    <t xml:space="preserve">Stops at Stage 5</t>
  </si>
  <si>
    <t xml:space="preserve">Talk to sponsors from Stage 3</t>
  </si>
  <si>
    <t xml:space="preserve">Patients read results as advice</t>
  </si>
  <si>
    <t xml:space="preserve">Harm</t>
  </si>
  <si>
    <t xml:space="preserve">Clear 'research only' labels</t>
  </si>
  <si>
    <t xml:space="preserve">A wrong medical step ships in a small language</t>
  </si>
  <si>
    <t xml:space="preserve">Someone gets hurt following the guide</t>
  </si>
  <si>
    <t xml:space="preserve">Two independent speakers plus 10% back-translation; recall button in the app</t>
  </si>
  <si>
    <t xml:space="preserve">No speakers found for some languages</t>
  </si>
  <si>
    <t xml:space="preserve">Fewer than 50 languages</t>
  </si>
  <si>
    <t xml:space="preserve">Recruit early (a5); allow 5 reserve languages</t>
  </si>
  <si>
    <t xml:space="preserve">Guidelines change mid-mission</t>
  </si>
  <si>
    <t xml:space="preserve">Low</t>
  </si>
  <si>
    <t xml:space="preserve">Rework</t>
  </si>
  <si>
    <t xml:space="preserve">Freeze masters; plan a yearly update</t>
  </si>
  <si>
    <t xml:space="preserve">Licence problem with source text</t>
  </si>
  <si>
    <t xml:space="preserve">Takedown</t>
  </si>
  <si>
    <t xml:space="preserve">Write fresh masters; cite, don't copy</t>
  </si>
  <si>
    <t xml:space="preserve">GPU money runs out before the main run finishes</t>
  </si>
  <si>
    <t xml:space="preserve">A half-trained model; all of Stage 2 is wasted</t>
  </si>
  <si>
    <t xml:space="preserve">Book the main run only when 115% of its cost is in hand. Checkpoint every 2 hours. Merge with Fine-Tune Force to stop paying for two sets of test runs.</t>
  </si>
  <si>
    <t xml:space="preserve">The smallest languages cannot reach 5 million clean words</t>
  </si>
  <si>
    <t xml:space="preserve">Stage 1 cannot close at 22/22; the model is weak in those languages</t>
  </si>
  <si>
    <t xml:space="preserve">Pay for typed sentences (m10) and CC-BY licensing from a regional publisher. Allow up to 4 repeats of rare-language text. Report honestly if the floor is missed.</t>
  </si>
  <si>
    <t xml:space="preserve">A source turns out to be unlicensed after training</t>
  </si>
  <si>
    <t xml:space="preserve">Forced takedown or re-train</t>
  </si>
  <si>
    <t xml:space="preserve">Licence log with evidence for every source; anything unclear is dropped before freeze</t>
  </si>
  <si>
    <t xml:space="preserve">Test questions leak into training data</t>
  </si>
  <si>
    <t xml:space="preserve">Scores are worthless</t>
  </si>
  <si>
    <t xml:space="preserve">Freeze and hash tests before training; run the n-gram leak search (m8); plant canary sentences</t>
  </si>
  <si>
    <t xml:space="preserve">Overclaiming: calling the model 'better' when the gaps are noise</t>
  </si>
  <si>
    <t xml:space="preserve">Lost trust from users and experts</t>
  </si>
  <si>
    <t xml:space="preserve">Publish confidence ranges; a win counts only outside the range; publish all losses</t>
  </si>
  <si>
    <t xml:space="preserve">Prompt injection gets an agent to leak a token or act outside its manifest</t>
  </si>
  <si>
    <t xml:space="preserve">Lost secrets or unwanted code and payments</t>
  </si>
  <si>
    <t xml:space="preserve">Default deny; untrusted text can't grant permissions; secrets scoped per tool; the agent that reads the web holds no secrets</t>
  </si>
  <si>
    <t xml:space="preserve">Double payment from a retried request</t>
  </si>
  <si>
    <t xml:space="preserve">Real money lost and trust broken</t>
  </si>
  <si>
    <t xml:space="preserve">Hold-then-pay, idempotency keys, double-entry ledger and hourly reconciliation</t>
  </si>
  <si>
    <t xml:space="preserve">The checker agent rubber-stamps bad work</t>
  </si>
  <si>
    <t xml:space="preserve">Bad results get paid</t>
  </si>
  <si>
    <t xml:space="preserve">Separate context and model; planted bad results; humans sign off on every payout</t>
  </si>
  <si>
    <t xml:space="preserve">Model API bill runs away during red-team or load tests</t>
  </si>
  <si>
    <t xml:space="preserve">Budget gone before Stage 4</t>
  </si>
  <si>
    <t xml:space="preserve">Hard caps per run and per month; replay quests; alerts within 60 seconds</t>
  </si>
  <si>
    <t xml:space="preserve">Too many 'ask' prompts and players switch them off</t>
  </si>
  <si>
    <t xml:space="preserve">Safety exists on paper only</t>
  </si>
  <si>
    <t xml:space="preserve">User tests (h4); batch asks; caps instead of asks for small, reversible actions</t>
  </si>
  <si>
    <t xml:space="preserve">Boat money runs out before 200 sites</t>
  </si>
  <si>
    <t xml:space="preserve">Too few sites; the model can't reach 80%</t>
  </si>
  <si>
    <t xml:space="preserve">Snorkel surveys on reef flats, an at-cost dive partner, and r7 prioritising the missing classes</t>
  </si>
  <si>
    <t xml:space="preserve">A diving accident</t>
  </si>
  <si>
    <t xml:space="preserve">Serious harm; mission paused</t>
  </si>
  <si>
    <t xml:space="preserve">Certified divers, buddy system, 18 m limit, licensed operator, insurance, weather calls</t>
  </si>
  <si>
    <t xml:space="preserve">Unchecked agent maps get published</t>
  </si>
  <si>
    <t xml:space="preserve">Wrong map; loss of trust</t>
  </si>
  <si>
    <t xml:space="preserve">Human Checker gate on every public tile</t>
  </si>
  <si>
    <t xml:space="preserve">The model learns depth instead of health</t>
  </si>
  <si>
    <t xml:space="preserve">High score that fails in new places</t>
  </si>
  <si>
    <t xml:space="preserve">Depth-stratified test set and an outside expert review</t>
  </si>
  <si>
    <t xml:space="preserve">Wet-season clouds block images</t>
  </si>
  <si>
    <t xml:space="preserve">Gaps in cover updates</t>
  </si>
  <si>
    <t xml:space="preserve">The heat-stress layer still updates weekly; flag the date of the last clear image</t>
  </si>
  <si>
    <t xml:space="preserve">Never reaches 150 backers</t>
  </si>
  <si>
    <t xml:space="preserve">Mission doesn't start</t>
  </si>
  <si>
    <t xml:space="preserve">Pre-launch quests (l9, l10); pledges are returned in full</t>
  </si>
  <si>
    <t xml:space="preserve">Renters and the oldest blocks don't take part</t>
  </si>
  <si>
    <t xml:space="preserve">The map misses the riskiest homes</t>
  </si>
  <si>
    <t xml:space="preserve">Library nights in low-response blocks; landlord opt-in; a 'gaps' layer</t>
  </si>
  <si>
    <t xml:space="preserve">A house is identifiable</t>
  </si>
  <si>
    <t xml:space="preserve">Privacy harm</t>
  </si>
  <si>
    <t xml:space="preserve">Block floor, opt-in, metadata stripping</t>
  </si>
  <si>
    <t xml:space="preserve">Wrong photo calls</t>
  </si>
  <si>
    <t xml:space="preserve">The city distrusts the data</t>
  </si>
  <si>
    <t xml:space="preserve">Human Checkers and 40 plumber spot-checks</t>
  </si>
  <si>
    <t xml:space="preserve">Seen as political</t>
  </si>
  <si>
    <t xml:space="preserve">The city ignores the data</t>
  </si>
  <si>
    <t xml:space="preserve">Non-partisan rule; data-only asks</t>
  </si>
  <si>
    <t xml:space="preserve">Kenya test misses the end of term</t>
  </si>
  <si>
    <t xml:space="preserve">Results delayed about 2 months</t>
  </si>
  <si>
    <t xml:space="preserve">Book the date now (t12); have a backup tester</t>
  </si>
  <si>
    <t xml:space="preserve">Small samples overstate the gains</t>
  </si>
  <si>
    <t xml:space="preserve">Misleading claims</t>
  </si>
  <si>
    <t xml:space="preserve">Report sample sizes and comparison classes; propose a larger follow-up</t>
  </si>
  <si>
    <t xml:space="preserve">Child data leak</t>
  </si>
  <si>
    <t xml:space="preserve">Harm to children and loss of trust</t>
  </si>
  <si>
    <t xml:space="preserve">Child codes only; the code key stays at the school; follow national data laws</t>
  </si>
  <si>
    <t xml:space="preserve">Teachers teach to the test</t>
  </si>
  <si>
    <t xml:space="preserve">Inflated scores</t>
  </si>
  <si>
    <t xml:space="preserve">Use separate practice items; test the comparison classes on the same day</t>
  </si>
  <si>
    <t xml:space="preserve">Personal data leak (Aadhaar numbers or passbook photos shared in chats)</t>
  </si>
  <si>
    <t xml:space="preserve">Families exposed to fraud; mission loses trust</t>
  </si>
  <si>
    <t xml:space="preserve">Helper never asks for numbers; checklists use family codes; any ID image is deleted on sight</t>
  </si>
  <si>
    <t xml:space="preserve">Helper gives a wrong eligibility answer</t>
  </si>
  <si>
    <t xml:space="preserve">Wasted trips and lost trust</t>
  </si>
  <si>
    <t xml:space="preserve">Every answer comes from a checked card; monthly re-check against portals; 'ask a volunteer' button</t>
  </si>
  <si>
    <t xml:space="preserve">Middlemen use the mission's name to charge fees</t>
  </si>
  <si>
    <t xml:space="preserve">Poor families lose money</t>
  </si>
  <si>
    <t xml:space="preserve">'Help is free' on every message and card; a number to report it; volunteers carry printed IDs</t>
  </si>
  <si>
    <t xml:space="preserve">Payments fail silently (not seeded, name mismatch, dormant account)</t>
  </si>
  <si>
    <t xml:space="preserve">Stage 4 count stalls</t>
  </si>
  <si>
    <t xml:space="preserve">Check seeding in Stage 3 before applying; status checks every 2 weeks; bank seeding camps</t>
  </si>
  <si>
    <t xml:space="preserve">Government revises scheme rules or amounts mid-mission</t>
  </si>
  <si>
    <t xml:space="preserve">Cards and helper go stale</t>
  </si>
  <si>
    <t xml:space="preserve">Date every card; one Expert watches department orders weekly</t>
  </si>
  <si>
    <t xml:space="preserve">Defamation notice over a criminal-case line</t>
  </si>
  <si>
    <t xml:space="preserve">Profiles pulled, mission delayed</t>
  </si>
  <si>
    <t xml:space="preserve">Affidavit wording only, with page references; 'not convicted' wording; legal read; 12-hour correction desk</t>
  </si>
  <si>
    <t xml:space="preserve">Seen as biased toward one side</t>
  </si>
  <si>
    <t xml:space="preserve">Voters stop trusting the profiles</t>
  </si>
  <si>
    <t xml:space="preserve">Identical template, ballot order, equal-treatment audit, published method, conflict declarations</t>
  </si>
  <si>
    <t xml:space="preserve">OCR or typing error in asset figures</t>
  </si>
  <si>
    <t xml:space="preserve">Wrong facts published</t>
  </si>
  <si>
    <t xml:space="preserve">Human entry, 2 independent checks, page reference per fact</t>
  </si>
  <si>
    <t xml:space="preserve">Fake or edited screenshots spread under the mission's name</t>
  </si>
  <si>
    <t xml:space="preserve">Misinformation</t>
  </si>
  <si>
    <t xml:space="preserve">Every page carries its link and version; Checkers hunt fakes; a public 'is this real?' check</t>
  </si>
  <si>
    <t xml:space="preserve">Miss the deadline before the silence period</t>
  </si>
  <si>
    <t xml:space="preserve">Profiles arrive too late to matter</t>
  </si>
  <si>
    <t xml:space="preserve">Daily targets per constituency; rush rewards; publish constituency by constituency as each clears</t>
  </si>
  <si>
    <t xml:space="preserve">A player is hurt while pinning</t>
  </si>
  <si>
    <t xml:space="preserve">Stop-first rule, safety video, no pins on fast roads, daylight re-visits</t>
  </si>
  <si>
    <t xml:space="preserve">Accounts flagged for bulk filing</t>
  </si>
  <si>
    <t xml:space="preserve">Stage 2 stalls</t>
  </si>
  <si>
    <t xml:space="preserve">Each person files 10 at most per day from their own account; batches spread across people</t>
  </si>
  <si>
    <t xml:space="preserve">Complaints closed without repair</t>
  </si>
  <si>
    <t xml:space="preserve">False 'fixed' numbers</t>
  </si>
  <si>
    <t xml:space="preserve">After-photo rule; engineer review; RTI on repeat closures</t>
  </si>
  <si>
    <t xml:space="preserve">Monsoon patches fail before day 90</t>
  </si>
  <si>
    <t xml:space="preserve">Fix rate falls</t>
  </si>
  <si>
    <t xml:space="preserve">Re-check at 30 days; re-file reopened potholes; push for hot-mix repairs in dry weeks</t>
  </si>
  <si>
    <t xml:space="preserve">Ward boundaries change mid-mission</t>
  </si>
  <si>
    <t xml:space="preserve">Scoreboard confusion</t>
  </si>
  <si>
    <t xml:space="preserve">Store raw GPS; re-join pins to new boundaries when notified</t>
  </si>
  <si>
    <t xml:space="preserve">Appeal deadlines lapse because nobody is free to travel</t>
  </si>
  <si>
    <t xml:space="preserve">Right to appeal lost for that request; must re-file and restart</t>
  </si>
  <si>
    <t xml:space="preserve">Tracker alerts at day 50; post appeals by registered post as a fallback</t>
  </si>
  <si>
    <t xml:space="preserve">Commission hearing scheduled at short notice in Patna</t>
  </si>
  <si>
    <t xml:space="preserve">Case adjourned or dismissed for non-appearance</t>
  </si>
  <si>
    <t xml:space="preserve">Patna-based volunteer holds written authority to attend</t>
  </si>
  <si>
    <t xml:space="preserve">Head teachers feel accused and refuse visits</t>
  </si>
  <si>
    <t xml:space="preserve">Stage 4 stalls</t>
  </si>
  <si>
    <t xml:space="preserve">Retired teachers make first contact; share findings privately first</t>
  </si>
  <si>
    <t xml:space="preserve">Misreading a coding difference as missing money</t>
  </si>
  <si>
    <t xml:space="preserve">Unfair report card and loss of trust</t>
  </si>
  <si>
    <t xml:space="preserve">Two-document rule and right of reply</t>
  </si>
  <si>
    <t xml:space="preserve">Volunteer pressured or threatened at an office</t>
  </si>
  <si>
    <t xml:space="preserve">Harm to a person</t>
  </si>
  <si>
    <t xml:space="preserve">Pairs only, office hours only, leave and report, never argue</t>
  </si>
  <si>
    <t xml:space="preserve">Sensors stolen or vandalised</t>
  </si>
  <si>
    <t xml:space="preserve">Gaps in coverage on flood nights</t>
  </si>
  <si>
    <t xml:space="preserve">Host-watched sites, plain enclosures, spares stock</t>
  </si>
  <si>
    <t xml:space="preserve">SMS delayed or blocked by DND filtering</t>
  </si>
  <si>
    <t xml:space="preserve">Alerts arrive too late</t>
  </si>
  <si>
    <t xml:space="preserve">Registered sender ID, transactional route, delivery-time tests, WhatsApp backup</t>
  </si>
  <si>
    <t xml:space="preserve">Too many false alarms</t>
  </si>
  <si>
    <t xml:space="preserve">People stop trusting alerts</t>
  </si>
  <si>
    <t xml:space="preserve">Rate-of-rise rules, mid-season threshold tuning</t>
  </si>
  <si>
    <t xml:space="preserve">Volunteer hurt near the river</t>
  </si>
  <si>
    <t xml:space="preserve">Serious harm</t>
  </si>
  <si>
    <t xml:space="preserve">No river visits when water is high or after dark; always two people</t>
  </si>
  <si>
    <t xml:space="preserve">No local body takes over</t>
  </si>
  <si>
    <t xml:space="preserve">System dies after 12 months</t>
  </si>
  <si>
    <t xml:space="preserve">Involve the CDA from stage 1; fund a reserve</t>
  </si>
  <si>
    <t xml:space="preserve">A letter is read as individual legal advice</t>
  </si>
  <si>
    <t xml:space="preserve">Unauthorized practice of law complaint</t>
  </si>
  <si>
    <t xml:space="preserve">Templates only, lawyer sign-off, clear disclaimer, referral for court matters</t>
  </si>
  <si>
    <t xml:space="preserve">A letter triggers retaliation or a filing</t>
  </si>
  <si>
    <t xml:space="preserve">Tenant harmed</t>
  </si>
  <si>
    <t xml:space="preserve">Instructions explain § 44-7-24 and when to get help first</t>
  </si>
  <si>
    <t xml:space="preserve">Volunteer lawyers drop out</t>
  </si>
  <si>
    <t xml:space="preserve">Two lawyers, small batches, honoraria</t>
  </si>
  <si>
    <t xml:space="preserve">Law changes after sign-off</t>
  </si>
  <si>
    <t xml:space="preserve">Outdated letters</t>
  </si>
  <si>
    <t xml:space="preserve">Yearly review after the Georgia legislative session, plus a reserve</t>
  </si>
  <si>
    <t xml:space="preserve">Personal data leak</t>
  </si>
  <si>
    <t xml:space="preserve">Tenant exposed to landlord retaliation</t>
  </si>
  <si>
    <t xml:space="preserve">Data stays on the device; no server storage by default</t>
  </si>
  <si>
    <t xml:space="preserve">Outer districts left unmapped</t>
  </si>
  <si>
    <t xml:space="preserve">Map skewed to the centre</t>
  </si>
  <si>
    <t xml:space="preserve">Bonus rewards and the cycling-club partner</t>
  </si>
  <si>
    <t xml:space="preserve">Reports ignored by one district</t>
  </si>
  <si>
    <t xml:space="preserve">Few fixes there</t>
  </si>
  <si>
    <t xml:space="preserve">Switched to a weekly spreadsheet that district preferred</t>
  </si>
  <si>
    <t xml:space="preserve">Duplicate OSM points</t>
  </si>
  <si>
    <t xml:space="preserve">Inflated counts</t>
  </si>
  <si>
    <t xml:space="preserve">Dedup script plus Checker review</t>
  </si>
  <si>
    <t xml:space="preserve">Season ends before fixes</t>
  </si>
  <si>
    <t xml:space="preserve">Missed target</t>
  </si>
  <si>
    <t xml:space="preserve">Started in March; fixed pumps counted year-round</t>
  </si>
  <si>
    <t xml:space="preserve">Plywood in some countries was thinner than spec</t>
  </si>
  <si>
    <t xml:space="preserve">Two early builds sagged</t>
  </si>
  <si>
    <t xml:space="preserve">Added a stiffening stringer option and a sheet-thickness check</t>
  </si>
  <si>
    <t xml:space="preserve">A builder used it on a step too tall for it</t>
  </si>
  <si>
    <t xml:space="preserve">Steep, unsafe slope</t>
  </si>
  <si>
    <t xml:space="preserve">Added a max-rise sticker and a slope check to the log</t>
  </si>
  <si>
    <t xml:space="preserve">Fake build photos</t>
  </si>
  <si>
    <t xml:space="preserve">Inflated count</t>
  </si>
  <si>
    <t xml:space="preserve">10% sample with a slope measurement in the photo</t>
  </si>
  <si>
    <t xml:space="preserve">Heat stress during the survey</t>
  </si>
  <si>
    <t xml:space="preserve">Volunteer health</t>
  </si>
  <si>
    <t xml:space="preserve">No surveying from noon to 4 pm, work in pairs, carry water. Two volunteers got mild heat exhaustion in month 2, so survey hours moved earlier.</t>
  </si>
  <si>
    <t xml:space="preserve">PHED ignores the list</t>
  </si>
  <si>
    <t xml:space="preserve">No repairs</t>
  </si>
  <si>
    <t xml:space="preserve">Hand-delivered with signed receipts, weekly check-ins, Sampark complaints in parallel. One block was slow until a monthly block meeting raised it.</t>
  </si>
  <si>
    <t xml:space="preserve">Pipe and cylinder shortage</t>
  </si>
  <si>
    <t xml:space="preserve">Repairs stuck for weeks</t>
  </si>
  <si>
    <t xml:space="preserve">Panchayats funded 40 repairs from tied grants; about 60 were still waiting at the end.</t>
  </si>
  <si>
    <t xml:space="preserve">Dry or saline borewells</t>
  </si>
  <si>
    <t xml:space="preserve">About 50 pumps can never be repaired</t>
  </si>
  <si>
    <t xml:space="preserve">Logged separately for a new bore or closure, so they don't block the fix count.</t>
  </si>
  <si>
    <t xml:space="preserve">Our IDs don't match PHED's</t>
  </si>
  <si>
    <t xml:space="preserve">Duplicate or lost complaints</t>
  </si>
  <si>
    <t xml:space="preserve">GPS plus photo matching; PHED IDs painted on where missing.</t>
  </si>
  <si>
    <t xml:space="preserve">Cheap sensor gives false readings</t>
  </si>
  <si>
    <t xml:space="preserve">Teachers trust a wrong number</t>
  </si>
  <si>
    <t xml:space="preserve">Side-by-side test caught it; switched to NDIR</t>
  </si>
  <si>
    <t xml:space="preserve">Batch cost above target</t>
  </si>
  <si>
    <t xml:space="preserve">Mission stops</t>
  </si>
  <si>
    <t xml:space="preserve">None in time; it happened</t>
  </si>
  <si>
    <t xml:space="preserve">Sensor drift in classrooms</t>
  </si>
  <si>
    <t xml:space="preserve">Readings creep over weeks</t>
  </si>
  <si>
    <t xml:space="preserve">Weekly fresh-air calibration step</t>
  </si>
  <si>
    <t xml:space="preserve">Fact</t>
  </si>
  <si>
    <t xml:space="preserve">Source</t>
  </si>
  <si>
    <t xml:space="preserve">Confidence</t>
  </si>
  <si>
    <t xml:space="preserve">Median survival with surgery, radiotherapy and temozolomide is about 15 months</t>
  </si>
  <si>
    <t xml:space="preserve">Stupp et al., New England Journal of Medicine, 2005</t>
  </si>
  <si>
    <t xml:space="preserve">Five-year survival is under 10% (around 7%)</t>
  </si>
  <si>
    <t xml:space="preserve">CBTRUS Statistical Report, 2023</t>
  </si>
  <si>
    <t xml:space="preserve">Incidence is about 3 per 100,000 people per year</t>
  </si>
  <si>
    <t xml:space="preserve">Very few new drugs have been approved for glioblastoma in the last 20 years</t>
  </si>
  <si>
    <t xml:space="preserve">Review literature, 2020s</t>
  </si>
  <si>
    <t xml:space="preserve">Injuries cause about 4.4 million deaths a year worldwide</t>
  </si>
  <si>
    <t xml:space="preserve">WHO Injuries and violence fact sheet, 2021</t>
  </si>
  <si>
    <t xml:space="preserve">There are roughly 7,000 living languages</t>
  </si>
  <si>
    <t xml:space="preserve">Ethnologue, 2023</t>
  </si>
  <si>
    <t xml:space="preserve">Bystander CPR roughly doubles survival from out-of-hospital cardiac arrest in many studies</t>
  </si>
  <si>
    <t xml:space="preserve">ILCOR / AHA guideline evidence reviews, 2020</t>
  </si>
  <si>
    <t xml:space="preserve">Cooling a burn with cool running water for about 20 minutes is the recommended first step</t>
  </si>
  <si>
    <t xml:space="preserve">IFRC First Aid Guidelines, 2020</t>
  </si>
  <si>
    <t xml:space="preserve">The Eighth Schedule of the Indian Constitution lists 22 languages.</t>
  </si>
  <si>
    <t xml:space="preserve">Constitution of India, Eighth Schedule (as amended 2003)</t>
  </si>
  <si>
    <t xml:space="preserve">About 43.6% of Indians reported Hindi as their mother tongue; the rest is split across many languages.</t>
  </si>
  <si>
    <t xml:space="preserve">Census of India 2011, language tables</t>
  </si>
  <si>
    <t xml:space="preserve">Tokenizers built mostly for English can need several times more tokens for the same sentence in Indic scripts (roughly 3–10× depending on script and tokenizer).</t>
  </si>
  <si>
    <t xml:space="preserve">Petrov et al., 'Language Model Tokenizers Introduce Unfairness Between Languages', NeurIPS 2023</t>
  </si>
  <si>
    <t xml:space="preserve">Compute-optimal training uses roughly 20 training tokens per model parameter.</t>
  </si>
  <si>
    <t xml:space="preserve">Hoffmann et al., 'Chinchilla' scaling paper, DeepMind 2022</t>
  </si>
  <si>
    <t xml:space="preserve">Repeating training data for up to about 4 epochs costs little quality compared with fresh data.</t>
  </si>
  <si>
    <t xml:space="preserve">Muennighoff et al., 'Scaling Data-Constrained Language Models', NeurIPS 2023</t>
  </si>
  <si>
    <t xml:space="preserve">The open Sangraha corpus has roughly 250 billion tokens across the 22 scheduled languages, heavily skewed to the largest ones.</t>
  </si>
  <si>
    <t xml:space="preserve">AI4Bharat, IndicLLMSuite paper, 2024</t>
  </si>
  <si>
    <t xml:space="preserve">The Government of India approved the IndiaAI Mission with about ₹10,372 crore, including subsidised GPU access.</t>
  </si>
  <si>
    <t xml:space="preserve">Union Cabinet decision, March 2024</t>
  </si>
  <si>
    <t xml:space="preserve">A 2-billion-parameter model quantised to 4 bits needs roughly 1–1.5 GB of memory for its weights.</t>
  </si>
  <si>
    <t xml:space="preserve">Arithmetic: 2B × 4 bits ≈ 1 GB, plus overhead</t>
  </si>
  <si>
    <t xml:space="preserve">Prompt injection is ranked LLM01, the top risk, in the OWASP Top 10 for LLM Applications.</t>
  </si>
  <si>
    <t xml:space="preserve">OWASP GenAI Security Project, 2025 edition</t>
  </si>
  <si>
    <t xml:space="preserve">'Excessive Agency' (an agent given more power than its task needs) is on the same OWASP list.</t>
  </si>
  <si>
    <t xml:space="preserve">OWASP Top 10 for LLM Applications, 2025</t>
  </si>
  <si>
    <t xml:space="preserve">The Model Context Protocol was released as an open standard for connecting models to tools in November 2024.</t>
  </si>
  <si>
    <t xml:space="preserve">MCP specification, 2024</t>
  </si>
  <si>
    <t xml:space="preserve">Firecracker microVMs can boot in roughly 125 ms with a few MB of memory overhead, which makes one sandbox per task practical.</t>
  </si>
  <si>
    <t xml:space="preserve">Agache et al., 'Firecracker', NSDI 2020</t>
  </si>
  <si>
    <t xml:space="preserve">SWE-bench tests agents on about 2,300 real GitHub issues from 12 Python repositories.</t>
  </si>
  <si>
    <t xml:space="preserve">Jimenez et al., ICLR 2024</t>
  </si>
  <si>
    <t xml:space="preserve">An agent becomes dangerous when it has private data, untrusted content and a way to send data out at the same time (the 'lethal trifecta').</t>
  </si>
  <si>
    <t xml:space="preserve">Simon Willison, blog essay, 2025</t>
  </si>
  <si>
    <t xml:space="preserve">Coral reefs cover less than 1% of the ocean floor but support roughly a quarter of marine species.</t>
  </si>
  <si>
    <t xml:space="preserve">NOAA</t>
  </si>
  <si>
    <t xml:space="preserve">About 14% of the world's coral was lost between 2009 and 2018.</t>
  </si>
  <si>
    <t xml:space="preserve">GCRMN, Status of Coral Reefs of the World 2020</t>
  </si>
  <si>
    <t xml:space="preserve">NOAA and partners confirmed the fourth global coral bleaching event in April 2024.</t>
  </si>
  <si>
    <t xml:space="preserve">NOAA Coral Reef Watch, 2024</t>
  </si>
  <si>
    <t xml:space="preserve">By 2025, bleaching-level heat stress had reached roughly 80%+ of the world's reef area during this event.</t>
  </si>
  <si>
    <t xml:space="preserve">NOAA Coral Reef Watch / ICRI updates, 2025</t>
  </si>
  <si>
    <t xml:space="preserve">Heat stress of 4 Degree Heating Weeks usually means significant bleaching; 8 or more means severe bleaching and likely deaths.</t>
  </si>
  <si>
    <t xml:space="preserve">NOAA Coral Reef Watch product guide</t>
  </si>
  <si>
    <t xml:space="preserve">Sentinel-2 images the coast at 10 m resolution about every 5 days, cloud permitting.</t>
  </si>
  <si>
    <t xml:space="preserve">ESA Copernicus Sentinel-2 mission</t>
  </si>
  <si>
    <t xml:space="preserve">EPA estimates about 9.2 million lead service lines are in use in the US.</t>
  </si>
  <si>
    <t xml:space="preserve">EPA 7th Drinking Water Infrastructure Needs Survey, 2023</t>
  </si>
  <si>
    <t xml:space="preserve">Water systems had to submit a service line inventory by 16 October 2024.</t>
  </si>
  <si>
    <t xml:space="preserve">EPA Lead and Copper Rule Revisions</t>
  </si>
  <si>
    <t xml:space="preserve">The 2024 Lead and Copper Rule Improvements require most systems to replace lead service lines within 10 years.</t>
  </si>
  <si>
    <t xml:space="preserve">EPA, final rule October 2024</t>
  </si>
  <si>
    <t xml:space="preserve">The Bipartisan Infrastructure Law set aside $15 billion for lead service line replacement.</t>
  </si>
  <si>
    <t xml:space="preserve">Infrastructure Investment and Jobs Act, 2021</t>
  </si>
  <si>
    <t xml:space="preserve">No safe blood lead level in children has been identified.</t>
  </si>
  <si>
    <t xml:space="preserve">CDC</t>
  </si>
  <si>
    <t xml:space="preserve">Lead pipe is dull grey, scratches shiny silver with a coin, and a magnet does not stick to it. A magnet does stick to galvanised steel.</t>
  </si>
  <si>
    <t xml:space="preserve">EPA 'Protect Your Tap' guide</t>
  </si>
  <si>
    <t xml:space="preserve">About 617 million children and teenagers worldwide were not reaching minimum skill in reading and maths</t>
  </si>
  <si>
    <t xml:space="preserve">UNESCO Institute for Statistics, Fact Sheet 46, 2017</t>
  </si>
  <si>
    <t xml:space="preserve">About 70% of 10-year-olds in low- and middle-income countries cannot read and understand a simple text ('learning poverty')</t>
  </si>
  <si>
    <t xml:space="preserve">World Bank et al., State of Global Learning Poverty, 2022</t>
  </si>
  <si>
    <t xml:space="preserve">Primary classes in parts of sub-Saharan Africa often average around 40 or more pupils per teacher</t>
  </si>
  <si>
    <t xml:space="preserve">UNESCO UIS pupil–teacher ratio data</t>
  </si>
  <si>
    <t xml:space="preserve">Entry-level Android phones sell for roughly $50–100 in many African and South Asian markets</t>
  </si>
  <si>
    <t xml:space="preserve">Industry market reports, 2023–2024</t>
  </si>
  <si>
    <t xml:space="preserve">The National Food Security Act covers up to 75% of the rural and 50% of the urban population with subsidised grain.</t>
  </si>
  <si>
    <t xml:space="preserve">National Food Security Act 2013</t>
  </si>
  <si>
    <t xml:space="preserve">PM-KISAN pays eligible farmer families ₹6,000 a year in three instalments of ₹2,000.</t>
  </si>
  <si>
    <t xml:space="preserve">Ministry of Agriculture &amp; Farmers Welfare, PM-KISAN guidelines 2019</t>
  </si>
  <si>
    <t xml:space="preserve">Under the Indira Gandhi National Widow Pension Scheme, the Centre pays ₹300 a month to BPL widows aged 40–79. States add their own top-up.</t>
  </si>
  <si>
    <t xml:space="preserve">NSAP guidelines, Ministry of Rural Development</t>
  </si>
  <si>
    <t xml:space="preserve">UP's own old-age and destitute-women pensions pay about ₹1,000 a month, usually credited quarterly.</t>
  </si>
  <si>
    <t xml:space="preserve">UP Social Welfare and Women Welfare departments, recent orders</t>
  </si>
  <si>
    <t xml:space="preserve">Uttar Pradesh has 75 districts.</t>
  </si>
  <si>
    <t xml:space="preserve">Government of Uttar Pradesh</t>
  </si>
  <si>
    <t xml:space="preserve">Every candidate must file a Form 26 affidavit with the nomination, disclosing criminal cases, assets, liabilities and education.</t>
  </si>
  <si>
    <t xml:space="preserve">Conduct of Election Rules 1961, Rule 4A</t>
  </si>
  <si>
    <t xml:space="preserve">Pune district has 21 Assembly constituencies.</t>
  </si>
  <si>
    <t xml:space="preserve">Delimitation Order 2008 / Chief Electoral Officer, Maharashtra</t>
  </si>
  <si>
    <t xml:space="preserve">Giving false information in the affidavit is an offence punishable with up to 6 months in jail, a fine, or both.</t>
  </si>
  <si>
    <t xml:space="preserve">RP Act 1951, Sec. 125A</t>
  </si>
  <si>
    <t xml:space="preserve">Campaign-style election matter is barred in the 48 hours before polls close.</t>
  </si>
  <si>
    <t xml:space="preserve">RP Act 1951, Sec. 126</t>
  </si>
  <si>
    <t xml:space="preserve">Candidates with criminal cases must publicise them in newspapers and on TV at least 3 times before polling.</t>
  </si>
  <si>
    <t xml:space="preserve">ECI instructions after the Supreme Court's 2018 ruling (Format C-1)</t>
  </si>
  <si>
    <t xml:space="preserve">Pune district has more than 80 lakh registered voters.</t>
  </si>
  <si>
    <t xml:space="preserve">Chief Electoral Officer, Maharashtra, electoral roll summary 2024</t>
  </si>
  <si>
    <t xml:space="preserve">Sahaaya and the 1533 helpline are the city's official channels for civic complaints, potholes included.</t>
  </si>
  <si>
    <t xml:space="preserve">BBMP / Greater Bengaluru Authority</t>
  </si>
  <si>
    <t xml:space="preserve">BBMP had 198 wards from 2010. Its elected council's term ended in September 2020, and the city was run by administrators after that.</t>
  </si>
  <si>
    <t xml:space="preserve">Government of Karnataka / BBMP</t>
  </si>
  <si>
    <t xml:space="preserve">The Greater Bengaluru Governance Act 2024 replaced BBMP with the Greater Bengaluru Authority, which oversees several new city corporations notified in 2025.</t>
  </si>
  <si>
    <t xml:space="preserve">Karnataka Legislature, 2024–25 notifications</t>
  </si>
  <si>
    <t xml:space="preserve">Bengaluru has roughly 13,000–14,000 km of roads under the city corporation(s).</t>
  </si>
  <si>
    <t xml:space="preserve">BBMP road infrastructure figures, various years</t>
  </si>
  <si>
    <t xml:space="preserve">A smartphone's GPS is typically accurate to about 5 m in open sky, and worse near tall buildings.</t>
  </si>
  <si>
    <t xml:space="preserve">US GPS.gov performance standard</t>
  </si>
  <si>
    <t xml:space="preserve">Bengaluru crossed 1 crore registered vehicles in 2023, most of them two-wheelers.</t>
  </si>
  <si>
    <t xml:space="preserve">Karnataka Transport Department, 2023</t>
  </si>
  <si>
    <t xml:space="preserve">A PIO must reply within 30 days of receiving an RTI application.</t>
  </si>
  <si>
    <t xml:space="preserve">RTI Act 2005, Sec. 7(1)</t>
  </si>
  <si>
    <t xml:space="preserve">A first appeal can be filed within 30 days after the reply deadline passes, and must be decided within 30 days (45 at most).</t>
  </si>
  <si>
    <t xml:space="preserve">RTI Act 2005, Sec. 19(1) and 19(6)</t>
  </si>
  <si>
    <t xml:space="preserve">A second appeal to the State Information Commission can be filed within 90 days of the first-appeal decision or deadline.</t>
  </si>
  <si>
    <t xml:space="preserve">RTI Act 2005, Sec. 19(3)</t>
  </si>
  <si>
    <t xml:space="preserve">The application fee in Bihar is ₹10. People below the poverty line pay nothing.</t>
  </si>
  <si>
    <t xml:space="preserve">Bihar RTI Rules 2006; RTI Act 2005 Sec. 7(5)</t>
  </si>
  <si>
    <t xml:space="preserve">The Commission can fine a PIO ₹250 a day for a late reply, up to ₹25,000.</t>
  </si>
  <si>
    <t xml:space="preserve">RTI Act 2005, Sec. 20(1)</t>
  </si>
  <si>
    <t xml:space="preserve">The composite school grant ranges from ₹10,000 to ₹1,00,000 a year by enrolment band, and at least 10% is meant for sanitation (Swachhta Action Plan).</t>
  </si>
  <si>
    <t xml:space="preserve">Samagra Shiksha Framework for Implementation (Ministry of Education, 2018 onward)</t>
  </si>
  <si>
    <t xml:space="preserve">Bihar has roughly 70,000 to 80,000 government schools.</t>
  </si>
  <si>
    <t xml:space="preserve">UDISE+ (recent years)</t>
  </si>
  <si>
    <t xml:space="preserve">The main Lagos rainy season runs roughly April to October, with the heaviest rain around June.</t>
  </si>
  <si>
    <t xml:space="preserve">NiMet Seasonal Climate Prediction (yearly)</t>
  </si>
  <si>
    <t xml:space="preserve">The 2012 Nigeria floods killed about 360 people and displaced about 2 million.</t>
  </si>
  <si>
    <t xml:space="preserve">NEMA / Post-Disaster Needs Assessment, 2013</t>
  </si>
  <si>
    <t xml:space="preserve">The 2022 Nigeria floods killed more than 600 people and displaced over 1 million.</t>
  </si>
  <si>
    <t xml:space="preserve">Federal Ministry of Humanitarian Affairs statements, Oct 2022</t>
  </si>
  <si>
    <t xml:space="preserve">Lagos LGAs are listed among high flood-risk areas in the national flood outlook every year.</t>
  </si>
  <si>
    <t xml:space="preserve">NIHSA Annual Flood Outlook</t>
  </si>
  <si>
    <t xml:space="preserve">Releases from the Oyan Dam on the Ogun River are linked to flooding in lower Ogun communities such as Isheri.</t>
  </si>
  <si>
    <t xml:space="preserve">Nigerian press reports and state advisories, several years</t>
  </si>
  <si>
    <t xml:space="preserve">Lagos has roughly 15 to 20+ million people, depending on the estimate.</t>
  </si>
  <si>
    <t xml:space="preserve">UN World Urbanization Prospects; Lagos State estimates</t>
  </si>
  <si>
    <t xml:space="preserve">A Georgia landlord must return the security deposit, or give an itemised list of deductions, within 30 days after the tenant moves out.</t>
  </si>
  <si>
    <t xml:space="preserve">O.C.G.A. § 44-7-34</t>
  </si>
  <si>
    <t xml:space="preserve">A tenant served with a dispossessory affidavit has 7 days to answer in magistrate court.</t>
  </si>
  <si>
    <t xml:space="preserve">O.C.G.A. § 44-7-51</t>
  </si>
  <si>
    <t xml:space="preserve">Georgia law preempts local rent control.</t>
  </si>
  <si>
    <t xml:space="preserve">O.C.G.A. § 44-7-19</t>
  </si>
  <si>
    <t xml:space="preserve">A landlord may not retaliate against a tenant for complaining about repairs to the landlord or to code enforcement.</t>
  </si>
  <si>
    <t xml:space="preserve">O.C.G.A. § 44-7-24 (added 2019)</t>
  </si>
  <si>
    <t xml:space="preserve">The Safe at Home Act (2024) added a fit-for-habitation duty, capped deposits at 2 months' rent, and required a 3-business-day notice before filing for non-payment.</t>
  </si>
  <si>
    <t xml:space="preserve">Georgia HB 404, signed 2024</t>
  </si>
  <si>
    <t xml:space="preserve">A landlord who wrongfully keeps a deposit can owe up to 3 times the amount withheld, plus attorney's fees.</t>
  </si>
  <si>
    <t xml:space="preserve">O.C.G.A. § 44-7-35</t>
  </si>
  <si>
    <t xml:space="preserve">Fulton County's eviction filing rate is among the highest of large US counties.</t>
  </si>
  <si>
    <t xml:space="preserve">Eviction Lab, Princeton University (various years)</t>
  </si>
  <si>
    <t xml:space="preserve">Berlin has roughly 2,000 historic street hand pumps, kept partly for emergency water supply.</t>
  </si>
  <si>
    <t xml:space="preserve">Berlin Senate Department for the Environment (public info pages)</t>
  </si>
  <si>
    <t xml:space="preserve">Berlin has a little over 200 public drinking fountains, and the number is growing.</t>
  </si>
  <si>
    <t xml:space="preserve">Berlin water operator public info, 2020s</t>
  </si>
  <si>
    <t xml:space="preserve">Drinking fountains run roughly April to October and are switched off in winter.</t>
  </si>
  <si>
    <t xml:space="preserve">Berlin water operator public info</t>
  </si>
  <si>
    <t xml:space="preserve">Berlin has 12 districts (Bezirke).</t>
  </si>
  <si>
    <t xml:space="preserve">Berlin Constitution / Senate</t>
  </si>
  <si>
    <t xml:space="preserve">The EU Drinking Water Directive asks member states to improve access to water in public places.</t>
  </si>
  <si>
    <t xml:space="preserve">Directive (EU) 2020/2184, Art. 16</t>
  </si>
  <si>
    <t xml:space="preserve">About 80 million people need a wheelchair (about 1% of the world's population)</t>
  </si>
  <si>
    <t xml:space="preserve">WHO Wheelchair provision guidelines, 2023</t>
  </si>
  <si>
    <t xml:space="preserve">The maximum ramp slope in the US accessibility standard is 1:12</t>
  </si>
  <si>
    <t xml:space="preserve">ADA 2010 Standards, Sec. 405.2</t>
  </si>
  <si>
    <t xml:space="preserve">A standard plywood sheet is 2440 x 1220 mm (8 x 4 ft)</t>
  </si>
  <si>
    <t xml:space="preserve">Common trade size</t>
  </si>
  <si>
    <t xml:space="preserve">About 2.5 billion people need at least one assistive product</t>
  </si>
  <si>
    <t xml:space="preserve">WHO/UNICEF Global Report on Assistive Technology, 2022</t>
  </si>
  <si>
    <t xml:space="preserve">Rajasthan covers about 10% of India's land but has only about 1% of its surface water.</t>
  </si>
  <si>
    <t xml:space="preserve">Rajasthan State Water Policy 2010</t>
  </si>
  <si>
    <t xml:space="preserve">Jal Jeevan Mission, launched in 2019, aims to give every rural home a functional tap connection.</t>
  </si>
  <si>
    <t xml:space="preserve">Ministry of Jal Shakti, 2019</t>
  </si>
  <si>
    <t xml:space="preserve">60% of the 15th Finance Commission's rural local-body grants are tied to drinking water and sanitation.</t>
  </si>
  <si>
    <t xml:space="preserve">15th Finance Commission report, 2020–21 to 2025–26</t>
  </si>
  <si>
    <t xml:space="preserve">Older rural water-supply norms planned 1 hand pump or stand-post per 250 people.</t>
  </si>
  <si>
    <t xml:space="preserve">Accelerated Rural Water Supply Programme guidelines</t>
  </si>
  <si>
    <t xml:space="preserve">The India Mark II is India's standard deep-well hand pump and is common in Rajasthan.</t>
  </si>
  <si>
    <t xml:space="preserve">BIS standard for the India Mark II deep-well hand pump</t>
  </si>
  <si>
    <t xml:space="preserve">Before the 2023 split that created Balotra district, Barmer was one of India's largest districts, at about 28,000 km².</t>
  </si>
  <si>
    <t xml:space="preserve">Census of India 2011; Government of Rajasthan 2023</t>
  </si>
  <si>
    <t xml:space="preserve">Outdoor CO2 is about 420 ppm.</t>
  </si>
  <si>
    <t xml:space="preserve">NOAA Global Monitoring Laboratory, 2023–24</t>
  </si>
  <si>
    <t xml:space="preserve">Cheap metal-oxide 'eCO2' sensors estimate CO2 from volatile organic compounds instead of measuring it.</t>
  </si>
  <si>
    <t xml:space="preserve">Manufacturer datasheets for MOX gas sensors</t>
  </si>
  <si>
    <t xml:space="preserve">NDIR sensors measure CO2 directly by how much infrared light it absorbs.</t>
  </si>
  <si>
    <t xml:space="preserve">Standard gas-sensing physics; sensor datasheets</t>
  </si>
  <si>
    <t xml:space="preserve">UK school ventilation guidance aims for average CO2 below 1,500 ppm over the school day, with lower levels possible.</t>
  </si>
  <si>
    <t xml:space="preserve">UK DfE Building Bulletin 101, 2018</t>
  </si>
  <si>
    <t xml:space="preserve">Classrooms often exceed 1,000 ppm during lessons with closed windows.</t>
  </si>
  <si>
    <t xml:space="preserve">Multiple classroom monitoring studies</t>
  </si>
  <si>
    <t xml:space="preserve">Outcome</t>
  </si>
  <si>
    <t xml:space="preserve">What happened</t>
  </si>
  <si>
    <t xml:space="preserve">Paid out</t>
  </si>
  <si>
    <t xml:space="preserve">Medal</t>
  </si>
  <si>
    <t xml:space="preserve">Your part</t>
  </si>
  <si>
    <t xml:space="preserve">What worked</t>
  </si>
  <si>
    <t xml:space="preserve">What didn't</t>
  </si>
  <si>
    <t xml:space="preserve">Lessons</t>
  </si>
  <si>
    <t xml:space="preserve">Mapped 1,140 fountains. Reported 310 broken ones. The city fixed 220.</t>
  </si>
  <si>
    <t xml:space="preserve">First win</t>
  </si>
  <si>
    <t xml:space="preserve">• Month 1 (March): Grid drawn, existing OSM points pulled, first 30 squares claimed.
• Month 2–3: 1,140 water points tagged. Outer districts finished with bonus rewards.
• Month 3–4: Routing table built. 310 reports sent with reference numbers.
• Month 4–6: Districts fixed pumps in batches. Re-visits confirmed fixes.
• Month 7 (September): 220 fixes confirmed, data published, prize paid.</t>
  </si>
  <si>
    <t xml:space="preserve">Small one-hour squares, one standard report format, and dated photos as the only proof.</t>
  </si>
  <si>
    <t xml:space="preserve">Outer districts lagged until bonuses came in. One district ignored single reports until we switched to a weekly spreadsheet. 90 reported points were still waiting when the season ended.</t>
  </si>
  <si>
    <t xml:space="preserve">• Split the work so anyone can finish a piece in an hour.
• Find out how each office wants reports before sending any.
• Count fixes only with a dated photo.
• Pay more for the boring, far-away squares.</t>
  </si>
  <si>
    <t xml:space="preserve">An open ramp design anyone can build for $40. 300 built in 12 countries.</t>
  </si>
  <si>
    <t xml:space="preserve">Builder</t>
  </si>
  <si>
    <t xml:space="preserve">You checked 6 designs</t>
  </si>
  <si>
    <t xml:space="preserve">• Month 1: rules set, 12 design jobs posted
• Month 2: 12 designs checked, 1 chosen
• Months 3–4: 10 prototypes load-tested; stringer added
• Month 4: guide written and translated
• Months 5–7: 300 ramps built in 12 countries</t>
  </si>
  <si>
    <t xml:space="preserve">Small jobs, strict slope rules, and testing with sandbags before people.</t>
  </si>
  <si>
    <t xml:space="preserve">Plywood quality varied by country, and the design only fits one step.</t>
  </si>
  <si>
    <t xml:space="preserve">• Test with local materials early
• Put the limits on the product itself
• Ask photo proof to include a measurement</t>
  </si>
  <si>
    <t xml:space="preserve">Reported 412 broken hand pumps in Barmer. 300 fixed in 6 months.</t>
  </si>
  <si>
    <t xml:space="preserve">Ground hero</t>
  </si>
  <si>
    <t xml:space="preserve">• Month 1: Chose 4 blocks, built the offline form, trained 24 volunteers
• Month 2: Checked 2,600 pumps and found 412 broken
• Month 3: Handed lists to PHED, filed on Sampark, 90 fixed (mostly washers and chains)
• Month 4: Pipe shortage; panchayats began funding parts
• Month 5: 230 fixed; dry borewells logged separately
• Month 6: 300 fixed
• Month 7: 30-day re-checks found 21 failed again; all re-reported</t>
  </si>
  <si>
    <t xml:space="preserve">Local women surveying their own areas, hand-delivered lists with receipts, and a monthly count at block meetings.</t>
  </si>
  <si>
    <t xml:space="preserve">Parts shortages stalled about 60 repairs. Dry borewells can't be fixed by repair. Pumps without a trained caretaker broke again quickly.</t>
  </si>
  <si>
    <t xml:space="preserve">• Record symptoms, not guesses. Mechanics plan better that way.
• Ask panchayats for parts funding early.
• Train a village caretaker at every pump that gets fixed.
• Count dry borewells separately so they don't hide progress.
• Re-check after 30 days. 'Fixed' doesn't always last.</t>
  </si>
  <si>
    <t xml:space="preserve">Sensors cost $90, not $20. The squad stopped at stage 2. $9,400 unspent went back to 61 funders. Work already approved was still paid.</t>
  </si>
  <si>
    <t xml:space="preserve">• Month 1: Squad formed; 3 sensors tested side by side. The $5 eCO2 chip failed badly.
• Month 2: 5 NDIR prototypes built; all passed ±100 ppm.
• Month 3: Real quotes for 50 units came in at about $90 each.
• Month 4: Audit confirmed $90. 4 trial units ran in 2 classrooms, and teachers liked the traffic light. Squad voted to stop; $9,400 refunded.
• Stage 3 (200 classrooms) never started.</t>
  </si>
  <si>
    <t xml:space="preserve">Testing accuracy before cost caught a sensor that would have misled teachers. The stop rule worked: approved work was paid and unspent money went back.</t>
  </si>
  <si>
    <t xml:space="preserve">The $20 target was set before getting real quotes. The NDIR sensor alone costs more than $20 in small batches.</t>
  </si>
  <si>
    <t xml:space="preserve">• Get real batch quotes for the most expensive part before setting a price goal.
• 'eCO2' is not CO2. Check what a sensor actually measures.
• Set price goals as a range and tie them to volume.
• A clean stop with refunds builds trust for the next mission.</t>
  </si>
</sst>
</file>

<file path=xl/styles.xml><?xml version="1.0" encoding="utf-8"?>
<styleSheet xmlns="http://schemas.openxmlformats.org/spreadsheetml/2006/main">
  <numFmts count="6">
    <numFmt numFmtId="164" formatCode="General"/>
    <numFmt numFmtId="165" formatCode="General"/>
    <numFmt numFmtId="166" formatCode="\$#,##0"/>
    <numFmt numFmtId="167" formatCode="\₹#,##0"/>
    <numFmt numFmtId="168" formatCode="#,##0"/>
    <numFmt numFmtId="169" formatCode="0%"/>
  </numFmts>
  <fonts count="9">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sz val="10"/>
      <name val="Arial"/>
      <family val="0"/>
      <charset val="1"/>
    </font>
    <font>
      <b val="true"/>
      <sz val="12"/>
      <name val="Arial"/>
      <family val="0"/>
      <charset val="1"/>
    </font>
    <font>
      <b val="true"/>
      <sz val="10"/>
      <name val="Arial"/>
      <family val="0"/>
      <charset val="1"/>
    </font>
    <font>
      <b val="true"/>
      <sz val="11"/>
      <color rgb="FFFFFFFF"/>
      <name val="Arial"/>
      <family val="0"/>
      <charset val="1"/>
    </font>
  </fonts>
  <fills count="7">
    <fill>
      <patternFill patternType="none"/>
    </fill>
    <fill>
      <patternFill patternType="gray125"/>
    </fill>
    <fill>
      <patternFill patternType="solid">
        <fgColor rgb="FFEEF3FA"/>
        <bgColor rgb="FFF6F1FF"/>
      </patternFill>
    </fill>
    <fill>
      <patternFill patternType="solid">
        <fgColor rgb="FF1F2430"/>
        <bgColor rgb="FF333300"/>
      </patternFill>
    </fill>
    <fill>
      <patternFill patternType="solid">
        <fgColor rgb="FF4B3B78"/>
        <bgColor rgb="FF666699"/>
      </patternFill>
    </fill>
    <fill>
      <patternFill patternType="solid">
        <fgColor rgb="FFF6F1FF"/>
        <bgColor rgb="FFEEF3FA"/>
      </patternFill>
    </fill>
    <fill>
      <patternFill patternType="solid">
        <fgColor rgb="FFFFF4C2"/>
        <bgColor rgb="FFFFFF99"/>
      </patternFill>
    </fill>
  </fills>
  <borders count="2">
    <border diagonalUp="false" diagonalDown="false">
      <left/>
      <right/>
      <top/>
      <bottom/>
      <diagonal/>
    </border>
    <border diagonalUp="false" diagonalDown="false">
      <left/>
      <right/>
      <top/>
      <bottom style="thin">
        <color rgb="FFD0D4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2"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5" fillId="2"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7" fontId="5" fillId="2"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9" fontId="5" fillId="2" borderId="1" xfId="0" applyFont="true" applyBorder="true" applyAlignment="true" applyProtection="false">
      <alignment horizontal="general" vertical="top" textRotation="0" wrapText="true" indent="0" shrinkToFit="false"/>
      <protection locked="true" hidden="false"/>
    </xf>
    <xf numFmtId="169" fontId="5" fillId="5"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8" fontId="5" fillId="5"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2430"/>
          <bgColor rgb="FF000000"/>
        </patternFill>
      </fill>
    </dxf>
    <dxf>
      <fill>
        <patternFill patternType="solid">
          <bgColor rgb="FF000000"/>
        </patternFill>
      </fill>
    </dxf>
    <dxf>
      <fill>
        <patternFill patternType="solid">
          <fgColor rgb="FFFFFFFF"/>
          <bgColor rgb="FF000000"/>
        </patternFill>
      </fill>
    </dxf>
    <dxf>
      <fill>
        <patternFill patternType="solid">
          <fgColor rgb="FFEEF3FA"/>
          <bgColor rgb="FF000000"/>
        </patternFill>
      </fill>
    </dxf>
    <dxf>
      <fill>
        <patternFill patternType="solid">
          <fgColor rgb="FF4B3B78"/>
          <bgColor rgb="FF000000"/>
        </patternFill>
      </fill>
    </dxf>
    <dxf>
      <fill>
        <patternFill patternType="solid">
          <fgColor rgb="FFF6F1FF"/>
          <bgColor rgb="FF000000"/>
        </patternFill>
      </fill>
    </dxf>
    <dxf>
      <fill>
        <patternFill patternType="solid">
          <fgColor rgb="FFFFF4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2"/>
      <rgbColor rgb="FFEEF3FA"/>
      <rgbColor rgb="FF660066"/>
      <rgbColor rgb="FFFF8080"/>
      <rgbColor rgb="FF0066CC"/>
      <rgbColor rgb="FFD0D4DC"/>
      <rgbColor rgb="FF000080"/>
      <rgbColor rgb="FFFF00FF"/>
      <rgbColor rgb="FFFFFF00"/>
      <rgbColor rgb="FF00FFFF"/>
      <rgbColor rgb="FF800080"/>
      <rgbColor rgb="FF800000"/>
      <rgbColor rgb="FF008080"/>
      <rgbColor rgb="FF0000FF"/>
      <rgbColor rgb="FF00CCFF"/>
      <rgbColor rgb="FFF6F1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B3B78"/>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2" min="2" style="1" width="12"/>
  </cols>
  <sheetData>
    <row r="1" customFormat="false" ht="21.7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t="s">
        <v>7</v>
      </c>
    </row>
    <row r="10" customFormat="false" ht="15" hidden="false" customHeight="true" outlineLevel="0" collapsed="false">
      <c r="A10" s="3"/>
    </row>
    <row r="11" customFormat="false" ht="15" hidden="false" customHeight="true" outlineLevel="0" collapsed="false">
      <c r="A11" s="4" t="s">
        <v>8</v>
      </c>
    </row>
    <row r="12" customFormat="false" ht="15" hidden="false" customHeight="true" outlineLevel="0" collapsed="false">
      <c r="A12" s="5" t="s">
        <v>9</v>
      </c>
      <c r="B12" s="6" t="n">
        <f aca="false">COUNTA(Missions!A2:A100)-COUNTA(Finished!A2:A100)</f>
        <v>13</v>
      </c>
    </row>
    <row r="13" customFormat="false" ht="15" hidden="false" customHeight="true" outlineLevel="0" collapsed="false">
      <c r="A13" s="5" t="s">
        <v>10</v>
      </c>
      <c r="B13" s="6" t="n">
        <f aca="false">COUNTA(Finished!A2:A100)</f>
        <v>4</v>
      </c>
    </row>
    <row r="14" customFormat="false" ht="15" hidden="false" customHeight="true" outlineLevel="0" collapsed="false">
      <c r="A14" s="5" t="s">
        <v>11</v>
      </c>
      <c r="B14" s="6" t="n">
        <f aca="false">COUNTA(Stages!A2:A500)</f>
        <v>74</v>
      </c>
    </row>
    <row r="15" customFormat="false" ht="15" hidden="false" customHeight="true" outlineLevel="0" collapsed="false">
      <c r="A15" s="5" t="s">
        <v>12</v>
      </c>
      <c r="B15" s="6" t="n">
        <f aca="false">COUNTA(Squads!A2:A200)</f>
        <v>35</v>
      </c>
    </row>
    <row r="16" customFormat="false" ht="15" hidden="false" customHeight="true" outlineLevel="0" collapsed="false">
      <c r="A16" s="5" t="s">
        <v>13</v>
      </c>
      <c r="B16" s="6" t="n">
        <f aca="false">COUNTA(Quests!A2:A2000)</f>
        <v>234</v>
      </c>
    </row>
    <row r="17" customFormat="false" ht="15" hidden="false" customHeight="true" outlineLevel="0" collapsed="false">
      <c r="A17" s="5" t="s">
        <v>14</v>
      </c>
      <c r="B17" s="6" t="n">
        <f aca="false">COUNTIF(Quests!I2:I2000,"Open")</f>
        <v>129</v>
      </c>
    </row>
    <row r="18" customFormat="false" ht="15" hidden="false" customHeight="true" outlineLevel="0" collapsed="false">
      <c r="A18" s="5" t="s">
        <v>15</v>
      </c>
      <c r="B18" s="6" t="n">
        <f aca="false">COUNTA(People!A2:A200)</f>
        <v>30</v>
      </c>
    </row>
    <row r="19" customFormat="false" ht="15" hidden="false" customHeight="true" outlineLevel="0" collapsed="false">
      <c r="A19" s="5" t="s">
        <v>16</v>
      </c>
      <c r="B19" s="6" t="n">
        <f aca="false">COUNTA(Budget!A2:A1000)</f>
        <v>190</v>
      </c>
    </row>
    <row r="20" customFormat="false" ht="15" hidden="false" customHeight="true" outlineLevel="0" collapsed="false">
      <c r="A20" s="5" t="s">
        <v>17</v>
      </c>
      <c r="B20" s="6" t="n">
        <f aca="false">COUNTA(Risks!A2:A1000)</f>
        <v>77</v>
      </c>
    </row>
    <row r="21" customFormat="false" ht="15" hidden="false" customHeight="true" outlineLevel="0" collapsed="false">
      <c r="A21" s="5" t="s">
        <v>18</v>
      </c>
      <c r="B21" s="6" t="n">
        <f aca="false">COUNTA(Facts!A2:A1000)</f>
        <v>95</v>
      </c>
    </row>
    <row r="22" customFormat="false" ht="15" hidden="false" customHeight="true" outlineLevel="0" collapsed="false">
      <c r="A22" s="5" t="s">
        <v>19</v>
      </c>
      <c r="B22" s="6" t="n">
        <f aca="false">COUNTIFS(Quests!E2:E2000,"Leader",Quests!I2:I2000,"Open")</f>
        <v>16</v>
      </c>
    </row>
    <row r="23" customFormat="false" ht="15" hidden="false" customHeight="true" outlineLevel="0" collapsed="false">
      <c r="A23" s="5" t="s">
        <v>20</v>
      </c>
      <c r="B23" s="6" t="n">
        <f aca="false">COUNTIFS(Quests!E2:E2000,"Planner",Quests!I2:I2000,"Open")</f>
        <v>14</v>
      </c>
    </row>
    <row r="24" customFormat="false" ht="15" hidden="false" customHeight="true" outlineLevel="0" collapsed="false">
      <c r="A24" s="5" t="s">
        <v>21</v>
      </c>
      <c r="B24" s="6" t="n">
        <f aca="false">COUNTIFS(Quests!E2:E2000,"Expert",Quests!I2:I2000,"Open")</f>
        <v>24</v>
      </c>
    </row>
    <row r="25" customFormat="false" ht="15" hidden="false" customHeight="true" outlineLevel="0" collapsed="false">
      <c r="A25" s="5" t="s">
        <v>22</v>
      </c>
      <c r="B25" s="6" t="n">
        <f aca="false">COUNTIFS(Quests!E2:E2000,"Maker",Quests!I2:I2000,"Open")</f>
        <v>18</v>
      </c>
    </row>
    <row r="26" customFormat="false" ht="15" hidden="false" customHeight="true" outlineLevel="0" collapsed="false">
      <c r="A26" s="5" t="s">
        <v>23</v>
      </c>
      <c r="B26" s="6" t="n">
        <f aca="false">COUNTIFS(Quests!E2:E2000,"Checker",Quests!I2:I2000,"Open")</f>
        <v>15</v>
      </c>
    </row>
    <row r="27" customFormat="false" ht="15" hidden="false" customHeight="true" outlineLevel="0" collapsed="false">
      <c r="A27" s="5" t="s">
        <v>24</v>
      </c>
      <c r="B27" s="6" t="n">
        <f aca="false">COUNTIFS(Quests!E2:E2000,"Storyteller",Quests!I2:I2000,"Open")</f>
        <v>13</v>
      </c>
    </row>
    <row r="28" customFormat="false" ht="15" hidden="false" customHeight="true" outlineLevel="0" collapsed="false">
      <c r="A28" s="5" t="s">
        <v>25</v>
      </c>
      <c r="B28" s="6" t="n">
        <f aca="false">COUNTIFS(Quests!E2:E2000,"Patron",Quests!I2:I2000,"Open")</f>
        <v>13</v>
      </c>
    </row>
    <row r="29" customFormat="false" ht="15" hidden="false" customHeight="true" outlineLevel="0" collapsed="false">
      <c r="A29" s="5" t="s">
        <v>26</v>
      </c>
      <c r="B29" s="6" t="n">
        <f aca="false">COUNTIFS(Quests!E2:E2000,"User",Quests!I2:I2000,"Open")</f>
        <v>16</v>
      </c>
    </row>
    <row r="30" customFormat="false" ht="15" hidden="false" customHeight="true" outlineLevel="0" collapsed="false">
      <c r="A30" s="3"/>
    </row>
    <row r="31" customFormat="false" ht="15" hidden="false" customHeight="true" outlineLevel="0" collapsed="false">
      <c r="A31" s="4" t="s">
        <v>27</v>
      </c>
    </row>
    <row r="32" customFormat="false" ht="15" hidden="false" customHeight="true" outlineLevel="0" collapsed="false">
      <c r="A32" s="3" t="s">
        <v>28</v>
      </c>
    </row>
    <row r="33" customFormat="false" ht="15" hidden="false" customHeight="true" outlineLevel="0" collapsed="false">
      <c r="A33" s="3" t="s">
        <v>29</v>
      </c>
    </row>
    <row r="34" customFormat="false" ht="15" hidden="false" customHeight="true" outlineLevel="0" collapsed="false">
      <c r="A34" s="3" t="s">
        <v>30</v>
      </c>
    </row>
    <row r="35" customFormat="false" ht="15" hidden="false" customHeight="true" outlineLevel="0" collapsed="false">
      <c r="A35" s="3" t="s">
        <v>31</v>
      </c>
    </row>
    <row r="36" customFormat="false" ht="15" hidden="false" customHeight="true" outlineLevel="0" collapsed="false">
      <c r="A36" s="3" t="s">
        <v>32</v>
      </c>
    </row>
    <row r="37" customFormat="false" ht="15" hidden="false" customHeight="true" outlineLevel="0" collapsed="false">
      <c r="A37" s="3" t="s">
        <v>33</v>
      </c>
    </row>
    <row r="38" customFormat="false" ht="15" hidden="false" customHeight="true" outlineLevel="0" collapsed="false">
      <c r="A38" s="3"/>
    </row>
    <row r="39" customFormat="false" ht="15" hidden="false" customHeight="true" outlineLevel="0" collapsed="false">
      <c r="A39" s="4" t="s">
        <v>34</v>
      </c>
    </row>
    <row r="40" customFormat="false" ht="15" hidden="false" customHeight="true" outlineLevel="0" collapsed="false">
      <c r="A40" s="3" t="s">
        <v>35</v>
      </c>
    </row>
    <row r="41" customFormat="false" ht="15" hidden="false" customHeight="true" outlineLevel="0" collapsed="false">
      <c r="A41" s="3" t="s">
        <v>36</v>
      </c>
    </row>
    <row r="42" customFormat="false" ht="15" hidden="false" customHeight="true" outlineLevel="0" collapsed="false">
      <c r="A42" s="3" t="s">
        <v>37</v>
      </c>
    </row>
    <row r="43" customFormat="false" ht="15" hidden="false" customHeight="true" outlineLevel="0" collapsed="false">
      <c r="A43" s="3" t="s">
        <v>38</v>
      </c>
    </row>
    <row r="44" customFormat="false" ht="15" hidden="false" customHeight="true" outlineLevel="0" collapsed="false">
      <c r="A44" s="3"/>
    </row>
    <row r="45" customFormat="false" ht="15" hidden="false" customHeight="true" outlineLevel="0" collapsed="false">
      <c r="A45" s="4" t="s">
        <v>39</v>
      </c>
    </row>
    <row r="46" customFormat="false" ht="15" hidden="false" customHeight="true" outlineLevel="0" collapsed="false">
      <c r="A46" s="3" t="s">
        <v>40</v>
      </c>
    </row>
    <row r="47" customFormat="false" ht="15" hidden="false" customHeight="true" outlineLevel="0" collapsed="false">
      <c r="A47"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0"/>
    <col collapsed="false" customWidth="true" hidden="false" outlineLevel="0" max="3" min="3" style="1" width="30"/>
    <col collapsed="false" customWidth="true" hidden="false" outlineLevel="0" max="4" min="4" style="1" width="44"/>
    <col collapsed="false" customWidth="true" hidden="false" outlineLevel="0" max="5" min="5" style="1" width="14"/>
    <col collapsed="false" customWidth="true" hidden="false" outlineLevel="0" max="6" min="6" style="1" width="30"/>
    <col collapsed="false" customWidth="true" hidden="false" outlineLevel="0" max="7" min="7" style="1" width="8"/>
    <col collapsed="false" customWidth="true" hidden="false" outlineLevel="0" max="8" min="8" style="1" width="7"/>
    <col collapsed="false" customWidth="true" hidden="false" outlineLevel="0" max="9" min="9" style="1" width="12"/>
    <col collapsed="false" customWidth="true" hidden="false" outlineLevel="0" max="10" min="10" style="1" width="7"/>
    <col collapsed="false" customWidth="true" hidden="false" outlineLevel="0" max="11" min="11" style="1" width="8"/>
    <col collapsed="false" customWidth="true" hidden="false" outlineLevel="0" max="14" min="12" style="1" width="7"/>
    <col collapsed="false" customWidth="true" hidden="false" outlineLevel="0" max="15" min="15" style="1" width="10"/>
    <col collapsed="false" customWidth="true" hidden="false" outlineLevel="0" max="16" min="16" style="1" width="12"/>
    <col collapsed="false" customWidth="true" hidden="false" outlineLevel="0" max="17" min="17" style="1" width="16"/>
    <col collapsed="false" customWidth="true" hidden="false" outlineLevel="0" max="18" min="18" style="1" width="24"/>
    <col collapsed="false" customWidth="true" hidden="false" outlineLevel="0" max="19" min="19" style="1" width="16"/>
    <col collapsed="false" customWidth="true" hidden="false" outlineLevel="0" max="20" min="20" style="1" width="22"/>
    <col collapsed="false" customWidth="true" hidden="false" outlineLevel="0" max="21" min="21" style="1" width="60"/>
    <col collapsed="false" customWidth="true" hidden="false" outlineLevel="0" max="22" min="22" style="1" width="40"/>
    <col collapsed="false" customWidth="true" hidden="false" outlineLevel="0" max="23" min="23" style="1" width="55"/>
    <col collapsed="false" customWidth="true" hidden="false" outlineLevel="0" max="26" min="24" style="1" width="50"/>
    <col collapsed="false" customWidth="true" hidden="false" outlineLevel="0" max="27" min="27" style="1" width="45"/>
    <col collapsed="false" customWidth="true" hidden="false" outlineLevel="0" max="28" min="28" style="1" width="50"/>
    <col collapsed="false" customWidth="true" hidden="false" outlineLevel="0" max="29" min="29" style="1" width="35"/>
    <col collapsed="false" customWidth="true" hidden="false" outlineLevel="0" max="30" min="30" style="1" width="30"/>
  </cols>
  <sheetData>
    <row r="1" customFormat="false" ht="31.5" hidden="false" customHeight="true" outlineLevel="0" collapsed="false">
      <c r="A1" s="7" t="s">
        <v>41</v>
      </c>
      <c r="B1" s="7" t="s">
        <v>42</v>
      </c>
      <c r="C1" s="7" t="s">
        <v>43</v>
      </c>
      <c r="D1" s="7" t="s">
        <v>44</v>
      </c>
      <c r="E1" s="7" t="s">
        <v>45</v>
      </c>
      <c r="F1" s="7" t="s">
        <v>46</v>
      </c>
      <c r="G1" s="7" t="s">
        <v>47</v>
      </c>
      <c r="H1" s="7" t="s">
        <v>11</v>
      </c>
      <c r="I1" s="7" t="s">
        <v>48</v>
      </c>
      <c r="J1" s="7" t="s">
        <v>49</v>
      </c>
      <c r="K1" s="7" t="s">
        <v>50</v>
      </c>
      <c r="L1" s="7" t="s">
        <v>12</v>
      </c>
      <c r="M1" s="7" t="s">
        <v>13</v>
      </c>
      <c r="N1" s="7" t="s">
        <v>14</v>
      </c>
      <c r="O1" s="7" t="s">
        <v>51</v>
      </c>
      <c r="P1" s="7" t="s">
        <v>52</v>
      </c>
      <c r="Q1" s="7" t="s">
        <v>53</v>
      </c>
      <c r="R1" s="7" t="s">
        <v>54</v>
      </c>
      <c r="S1" s="7" t="s">
        <v>55</v>
      </c>
      <c r="T1" s="7" t="s">
        <v>56</v>
      </c>
      <c r="U1" s="8" t="s">
        <v>57</v>
      </c>
      <c r="V1" s="8" t="s">
        <v>58</v>
      </c>
      <c r="W1" s="8" t="s">
        <v>59</v>
      </c>
      <c r="X1" s="8" t="s">
        <v>60</v>
      </c>
      <c r="Y1" s="8" t="s">
        <v>61</v>
      </c>
      <c r="Z1" s="8" t="s">
        <v>62</v>
      </c>
      <c r="AA1" s="8" t="s">
        <v>63</v>
      </c>
      <c r="AB1" s="8" t="s">
        <v>64</v>
      </c>
      <c r="AC1" s="8" t="s">
        <v>65</v>
      </c>
      <c r="AD1" s="7" t="s">
        <v>66</v>
      </c>
    </row>
    <row r="2" customFormat="false" ht="113.25" hidden="false" customHeight="true" outlineLevel="0" collapsed="false">
      <c r="A2" s="9" t="s">
        <v>67</v>
      </c>
      <c r="B2" s="9" t="s">
        <v>68</v>
      </c>
      <c r="C2" s="9" t="s">
        <v>69</v>
      </c>
      <c r="D2" s="9" t="s">
        <v>70</v>
      </c>
      <c r="E2" s="9" t="s">
        <v>71</v>
      </c>
      <c r="F2" s="9" t="s">
        <v>72</v>
      </c>
      <c r="G2" s="9" t="n">
        <v>3</v>
      </c>
      <c r="H2" s="10" t="n">
        <f aca="false">COUNTIF(Stages!$A$2:$A$1000,A2)</f>
        <v>6</v>
      </c>
      <c r="I2" s="11" t="n">
        <v>250000</v>
      </c>
      <c r="J2" s="9" t="s">
        <v>73</v>
      </c>
      <c r="K2" s="9" t="n">
        <v>640</v>
      </c>
      <c r="L2" s="10" t="n">
        <f aca="false">COUNTIF(Squads!$B$2:$B$1000,A2)</f>
        <v>4</v>
      </c>
      <c r="M2" s="10" t="n">
        <f aca="false">COUNTIF(Quests!$B$2:$B$3000,A2)</f>
        <v>16</v>
      </c>
      <c r="N2" s="10" t="n">
        <f aca="false">COUNTIFS(Quests!$B$2:$B$3000,A2,Quests!$I$2:$I$3000,"Open")</f>
        <v>10</v>
      </c>
      <c r="O2" s="10" t="n">
        <f aca="false">SUMPRODUCT(--(COUNTIFS(Quests!$B$2:$B$3000,A2,Quests!$I$2:$I$3000,"Open",Quests!$E$2:$E$3000,{"Leader";"Planner";"Expert";"Maker";"Checker";"Storyteller";"Patron";"User"})&gt;0))</f>
        <v>8</v>
      </c>
      <c r="P2" s="12" t="n">
        <f aca="false">SUMIF(Budget!$A$2:$A$3000,A2,Budget!$C$2:$C$3000)</f>
        <v>250000</v>
      </c>
      <c r="Q2" s="9" t="s">
        <v>74</v>
      </c>
      <c r="R2" s="9" t="s">
        <v>75</v>
      </c>
      <c r="S2" s="9" t="s">
        <v>76</v>
      </c>
      <c r="T2" s="9" t="s">
        <v>77</v>
      </c>
      <c r="U2" s="13" t="s">
        <v>78</v>
      </c>
      <c r="V2" s="13" t="s">
        <v>79</v>
      </c>
      <c r="W2" s="13" t="s">
        <v>80</v>
      </c>
      <c r="X2" s="13" t="s">
        <v>81</v>
      </c>
      <c r="Y2" s="13" t="s">
        <v>82</v>
      </c>
      <c r="Z2" s="13" t="s">
        <v>83</v>
      </c>
      <c r="AA2" s="13" t="s">
        <v>84</v>
      </c>
      <c r="AB2" s="13" t="s">
        <v>85</v>
      </c>
      <c r="AC2" s="13" t="s">
        <v>86</v>
      </c>
      <c r="AD2" s="14"/>
    </row>
    <row r="3" customFormat="false" ht="124.5" hidden="false" customHeight="true" outlineLevel="0" collapsed="false">
      <c r="A3" s="9" t="s">
        <v>87</v>
      </c>
      <c r="B3" s="9" t="s">
        <v>68</v>
      </c>
      <c r="C3" s="9" t="s">
        <v>88</v>
      </c>
      <c r="D3" s="9" t="s">
        <v>89</v>
      </c>
      <c r="E3" s="9" t="s">
        <v>90</v>
      </c>
      <c r="F3" s="9" t="s">
        <v>91</v>
      </c>
      <c r="G3" s="9" t="n">
        <v>1</v>
      </c>
      <c r="H3" s="10" t="n">
        <f aca="false">COUNTIF(Stages!$A$2:$A$1000,A3)</f>
        <v>5</v>
      </c>
      <c r="I3" s="11" t="n">
        <v>20000</v>
      </c>
      <c r="J3" s="9" t="s">
        <v>73</v>
      </c>
      <c r="K3" s="9" t="n">
        <v>38</v>
      </c>
      <c r="L3" s="10" t="n">
        <f aca="false">COUNTIF(Squads!$B$2:$B$1000,A3)</f>
        <v>3</v>
      </c>
      <c r="M3" s="10" t="n">
        <f aca="false">COUNTIF(Quests!$B$2:$B$3000,A3)</f>
        <v>18</v>
      </c>
      <c r="N3" s="10" t="n">
        <f aca="false">COUNTIFS(Quests!$B$2:$B$3000,A3,Quests!$I$2:$I$3000,"Open")</f>
        <v>11</v>
      </c>
      <c r="O3" s="10" t="n">
        <f aca="false">SUMPRODUCT(--(COUNTIFS(Quests!$B$2:$B$3000,A3,Quests!$I$2:$I$3000,"Open",Quests!$E$2:$E$3000,{"Leader";"Planner";"Expert";"Maker";"Checker";"Storyteller";"Patron";"User"})&gt;0))</f>
        <v>8</v>
      </c>
      <c r="P3" s="12" t="n">
        <f aca="false">SUMIF(Budget!$A$2:$A$3000,A3,Budget!$C$2:$C$3000)</f>
        <v>20000</v>
      </c>
      <c r="Q3" s="9" t="s">
        <v>92</v>
      </c>
      <c r="R3" s="9" t="s">
        <v>93</v>
      </c>
      <c r="S3" s="9" t="s">
        <v>76</v>
      </c>
      <c r="T3" s="9" t="s">
        <v>94</v>
      </c>
      <c r="U3" s="13" t="s">
        <v>95</v>
      </c>
      <c r="V3" s="13" t="s">
        <v>96</v>
      </c>
      <c r="W3" s="13" t="s">
        <v>97</v>
      </c>
      <c r="X3" s="13" t="s">
        <v>98</v>
      </c>
      <c r="Y3" s="13" t="s">
        <v>99</v>
      </c>
      <c r="Z3" s="13" t="s">
        <v>100</v>
      </c>
      <c r="AA3" s="13" t="s">
        <v>101</v>
      </c>
      <c r="AB3" s="13" t="s">
        <v>102</v>
      </c>
      <c r="AC3" s="13" t="s">
        <v>103</v>
      </c>
      <c r="AD3" s="14"/>
    </row>
    <row r="4" customFormat="false" ht="213.75" hidden="false" customHeight="true" outlineLevel="0" collapsed="false">
      <c r="A4" s="9" t="s">
        <v>104</v>
      </c>
      <c r="B4" s="9" t="s">
        <v>105</v>
      </c>
      <c r="C4" s="9" t="s">
        <v>106</v>
      </c>
      <c r="D4" s="9" t="s">
        <v>107</v>
      </c>
      <c r="E4" s="9" t="s">
        <v>108</v>
      </c>
      <c r="F4" s="9" t="s">
        <v>109</v>
      </c>
      <c r="G4" s="9" t="n">
        <v>1</v>
      </c>
      <c r="H4" s="10" t="n">
        <f aca="false">COUNTIF(Stages!$A$2:$A$1000,A4)</f>
        <v>5</v>
      </c>
      <c r="I4" s="15" t="n">
        <v>5000000</v>
      </c>
      <c r="J4" s="9" t="s">
        <v>110</v>
      </c>
      <c r="K4" s="9" t="n">
        <v>310</v>
      </c>
      <c r="L4" s="10" t="n">
        <f aca="false">COUNTIF(Squads!$B$2:$B$1000,A4)</f>
        <v>3</v>
      </c>
      <c r="M4" s="10" t="n">
        <f aca="false">COUNTIF(Quests!$B$2:$B$3000,A4)</f>
        <v>16</v>
      </c>
      <c r="N4" s="10" t="n">
        <f aca="false">COUNTIFS(Quests!$B$2:$B$3000,A4,Quests!$I$2:$I$3000,"Open")</f>
        <v>10</v>
      </c>
      <c r="O4" s="10" t="n">
        <f aca="false">SUMPRODUCT(--(COUNTIFS(Quests!$B$2:$B$3000,A4,Quests!$I$2:$I$3000,"Open",Quests!$E$2:$E$3000,{"Leader";"Planner";"Expert";"Maker";"Checker";"Storyteller";"Patron";"User"})&gt;0))</f>
        <v>8</v>
      </c>
      <c r="P4" s="16" t="n">
        <f aca="false">SUMIF(Budget!$A$2:$A$3000,A4,Budget!$C$2:$C$3000)</f>
        <v>5000000</v>
      </c>
      <c r="Q4" s="9" t="s">
        <v>111</v>
      </c>
      <c r="R4" s="9" t="s">
        <v>112</v>
      </c>
      <c r="S4" s="9" t="s">
        <v>113</v>
      </c>
      <c r="T4" s="9" t="s">
        <v>114</v>
      </c>
      <c r="U4" s="13" t="s">
        <v>115</v>
      </c>
      <c r="V4" s="13" t="s">
        <v>116</v>
      </c>
      <c r="W4" s="13" t="s">
        <v>117</v>
      </c>
      <c r="X4" s="13" t="s">
        <v>118</v>
      </c>
      <c r="Y4" s="13" t="s">
        <v>119</v>
      </c>
      <c r="Z4" s="13" t="s">
        <v>120</v>
      </c>
      <c r="AA4" s="13" t="s">
        <v>121</v>
      </c>
      <c r="AB4" s="13" t="s">
        <v>122</v>
      </c>
      <c r="AC4" s="13" t="s">
        <v>123</v>
      </c>
      <c r="AD4" s="14"/>
    </row>
    <row r="5" customFormat="false" ht="225" hidden="false" customHeight="true" outlineLevel="0" collapsed="false">
      <c r="A5" s="9" t="s">
        <v>124</v>
      </c>
      <c r="B5" s="9" t="s">
        <v>105</v>
      </c>
      <c r="C5" s="9" t="s">
        <v>125</v>
      </c>
      <c r="D5" s="9" t="s">
        <v>126</v>
      </c>
      <c r="E5" s="9" t="s">
        <v>71</v>
      </c>
      <c r="F5" s="9" t="s">
        <v>127</v>
      </c>
      <c r="G5" s="9" t="n">
        <v>2</v>
      </c>
      <c r="H5" s="10" t="n">
        <f aca="false">COUNTIF(Stages!$A$2:$A$1000,A5)</f>
        <v>4</v>
      </c>
      <c r="I5" s="11" t="n">
        <v>60000</v>
      </c>
      <c r="J5" s="9" t="s">
        <v>73</v>
      </c>
      <c r="K5" s="9" t="n">
        <v>190</v>
      </c>
      <c r="L5" s="10" t="n">
        <f aca="false">COUNTIF(Squads!$B$2:$B$1000,A5)</f>
        <v>2</v>
      </c>
      <c r="M5" s="10" t="n">
        <f aca="false">COUNTIF(Quests!$B$2:$B$3000,A5)</f>
        <v>16</v>
      </c>
      <c r="N5" s="10" t="n">
        <f aca="false">COUNTIFS(Quests!$B$2:$B$3000,A5,Quests!$I$2:$I$3000,"Open")</f>
        <v>11</v>
      </c>
      <c r="O5" s="10" t="n">
        <f aca="false">SUMPRODUCT(--(COUNTIFS(Quests!$B$2:$B$3000,A5,Quests!$I$2:$I$3000,"Open",Quests!$E$2:$E$3000,{"Leader";"Planner";"Expert";"Maker";"Checker";"Storyteller";"Patron";"User"})&gt;0))</f>
        <v>8</v>
      </c>
      <c r="P5" s="12" t="n">
        <f aca="false">SUMIF(Budget!$A$2:$A$3000,A5,Budget!$C$2:$C$3000)</f>
        <v>60000</v>
      </c>
      <c r="Q5" s="9" t="s">
        <v>128</v>
      </c>
      <c r="R5" s="9" t="s">
        <v>129</v>
      </c>
      <c r="S5" s="9" t="s">
        <v>76</v>
      </c>
      <c r="T5" s="9" t="s">
        <v>114</v>
      </c>
      <c r="U5" s="13" t="s">
        <v>130</v>
      </c>
      <c r="V5" s="13" t="s">
        <v>131</v>
      </c>
      <c r="W5" s="13" t="s">
        <v>132</v>
      </c>
      <c r="X5" s="13" t="s">
        <v>133</v>
      </c>
      <c r="Y5" s="13" t="s">
        <v>134</v>
      </c>
      <c r="Z5" s="13" t="s">
        <v>135</v>
      </c>
      <c r="AA5" s="13" t="s">
        <v>136</v>
      </c>
      <c r="AB5" s="13" t="s">
        <v>137</v>
      </c>
      <c r="AC5" s="13" t="s">
        <v>138</v>
      </c>
      <c r="AD5" s="14"/>
    </row>
    <row r="6" customFormat="false" ht="180" hidden="false" customHeight="true" outlineLevel="0" collapsed="false">
      <c r="A6" s="9" t="s">
        <v>139</v>
      </c>
      <c r="B6" s="9" t="s">
        <v>140</v>
      </c>
      <c r="C6" s="9" t="s">
        <v>141</v>
      </c>
      <c r="D6" s="9" t="s">
        <v>142</v>
      </c>
      <c r="E6" s="9" t="s">
        <v>143</v>
      </c>
      <c r="F6" s="9" t="s">
        <v>144</v>
      </c>
      <c r="G6" s="9" t="n">
        <v>2</v>
      </c>
      <c r="H6" s="10" t="n">
        <f aca="false">COUNTIF(Stages!$A$2:$A$1000,A6)</f>
        <v>4</v>
      </c>
      <c r="I6" s="11" t="n">
        <v>85000</v>
      </c>
      <c r="J6" s="9" t="s">
        <v>73</v>
      </c>
      <c r="K6" s="9" t="n">
        <v>95</v>
      </c>
      <c r="L6" s="10" t="n">
        <f aca="false">COUNTIF(Squads!$B$2:$B$1000,A6)</f>
        <v>2</v>
      </c>
      <c r="M6" s="10" t="n">
        <f aca="false">COUNTIF(Quests!$B$2:$B$3000,A6)</f>
        <v>15</v>
      </c>
      <c r="N6" s="10" t="n">
        <f aca="false">COUNTIFS(Quests!$B$2:$B$3000,A6,Quests!$I$2:$I$3000,"Open")</f>
        <v>9</v>
      </c>
      <c r="O6" s="10" t="n">
        <f aca="false">SUMPRODUCT(--(COUNTIFS(Quests!$B$2:$B$3000,A6,Quests!$I$2:$I$3000,"Open",Quests!$E$2:$E$3000,{"Leader";"Planner";"Expert";"Maker";"Checker";"Storyteller";"Patron";"User"})&gt;0))</f>
        <v>8</v>
      </c>
      <c r="P6" s="12" t="n">
        <f aca="false">SUMIF(Budget!$A$2:$A$3000,A6,Budget!$C$2:$C$3000)</f>
        <v>85000</v>
      </c>
      <c r="Q6" s="9" t="s">
        <v>145</v>
      </c>
      <c r="R6" s="9" t="s">
        <v>146</v>
      </c>
      <c r="S6" s="9" t="s">
        <v>76</v>
      </c>
      <c r="T6" s="9" t="s">
        <v>147</v>
      </c>
      <c r="U6" s="13" t="s">
        <v>148</v>
      </c>
      <c r="V6" s="13" t="s">
        <v>149</v>
      </c>
      <c r="W6" s="13" t="s">
        <v>150</v>
      </c>
      <c r="X6" s="13" t="s">
        <v>151</v>
      </c>
      <c r="Y6" s="13" t="s">
        <v>152</v>
      </c>
      <c r="Z6" s="13" t="s">
        <v>153</v>
      </c>
      <c r="AA6" s="13" t="s">
        <v>154</v>
      </c>
      <c r="AB6" s="13" t="s">
        <v>155</v>
      </c>
      <c r="AC6" s="13" t="s">
        <v>156</v>
      </c>
      <c r="AD6" s="14"/>
    </row>
    <row r="7" customFormat="false" ht="157.5" hidden="false" customHeight="true" outlineLevel="0" collapsed="false">
      <c r="A7" s="9" t="s">
        <v>157</v>
      </c>
      <c r="B7" s="9" t="s">
        <v>140</v>
      </c>
      <c r="C7" s="9" t="s">
        <v>158</v>
      </c>
      <c r="D7" s="9" t="s">
        <v>159</v>
      </c>
      <c r="E7" s="9" t="s">
        <v>160</v>
      </c>
      <c r="F7" s="9" t="s">
        <v>161</v>
      </c>
      <c r="G7" s="9" t="n">
        <v>0</v>
      </c>
      <c r="H7" s="10" t="n">
        <f aca="false">COUNTIF(Stages!$A$2:$A$1000,A7)</f>
        <v>5</v>
      </c>
      <c r="I7" s="11" t="n">
        <v>30000</v>
      </c>
      <c r="J7" s="9" t="s">
        <v>73</v>
      </c>
      <c r="K7" s="9" t="n">
        <v>0</v>
      </c>
      <c r="L7" s="10" t="n">
        <f aca="false">COUNTIF(Squads!$B$2:$B$1000,A7)</f>
        <v>2</v>
      </c>
      <c r="M7" s="10" t="n">
        <f aca="false">COUNTIF(Quests!$B$2:$B$3000,A7)</f>
        <v>16</v>
      </c>
      <c r="N7" s="10" t="n">
        <f aca="false">COUNTIFS(Quests!$B$2:$B$3000,A7,Quests!$I$2:$I$3000,"Open")</f>
        <v>10</v>
      </c>
      <c r="O7" s="10" t="n">
        <f aca="false">SUMPRODUCT(--(COUNTIFS(Quests!$B$2:$B$3000,A7,Quests!$I$2:$I$3000,"Open",Quests!$E$2:$E$3000,{"Leader";"Planner";"Expert";"Maker";"Checker";"Storyteller";"Patron";"User"})&gt;0))</f>
        <v>8</v>
      </c>
      <c r="P7" s="12" t="n">
        <f aca="false">SUMIF(Budget!$A$2:$A$3000,A7,Budget!$C$2:$C$3000)</f>
        <v>30000</v>
      </c>
      <c r="Q7" s="9" t="s">
        <v>162</v>
      </c>
      <c r="R7" s="9" t="s">
        <v>163</v>
      </c>
      <c r="S7" s="9" t="s">
        <v>164</v>
      </c>
      <c r="T7" s="9" t="s">
        <v>94</v>
      </c>
      <c r="U7" s="13" t="s">
        <v>165</v>
      </c>
      <c r="V7" s="13" t="s">
        <v>166</v>
      </c>
      <c r="W7" s="13" t="s">
        <v>167</v>
      </c>
      <c r="X7" s="13" t="s">
        <v>168</v>
      </c>
      <c r="Y7" s="13" t="s">
        <v>169</v>
      </c>
      <c r="Z7" s="13" t="s">
        <v>170</v>
      </c>
      <c r="AA7" s="13" t="s">
        <v>171</v>
      </c>
      <c r="AB7" s="13" t="s">
        <v>172</v>
      </c>
      <c r="AC7" s="13" t="s">
        <v>173</v>
      </c>
      <c r="AD7" s="14"/>
    </row>
    <row r="8" customFormat="false" ht="135.75" hidden="false" customHeight="true" outlineLevel="0" collapsed="false">
      <c r="A8" s="9" t="s">
        <v>174</v>
      </c>
      <c r="B8" s="9" t="s">
        <v>175</v>
      </c>
      <c r="C8" s="9" t="s">
        <v>176</v>
      </c>
      <c r="D8" s="9" t="s">
        <v>177</v>
      </c>
      <c r="E8" s="9" t="s">
        <v>178</v>
      </c>
      <c r="F8" s="9" t="s">
        <v>179</v>
      </c>
      <c r="G8" s="9" t="n">
        <v>4</v>
      </c>
      <c r="H8" s="10" t="n">
        <f aca="false">COUNTIF(Stages!$A$2:$A$1000,A8)</f>
        <v>4</v>
      </c>
      <c r="I8" s="11" t="n">
        <v>120000</v>
      </c>
      <c r="J8" s="9" t="s">
        <v>73</v>
      </c>
      <c r="K8" s="9" t="n">
        <v>180</v>
      </c>
      <c r="L8" s="10" t="n">
        <f aca="false">COUNTIF(Squads!$B$2:$B$1000,A8)</f>
        <v>2</v>
      </c>
      <c r="M8" s="10" t="n">
        <f aca="false">COUNTIF(Quests!$B$2:$B$3000,A8)</f>
        <v>16</v>
      </c>
      <c r="N8" s="10" t="n">
        <f aca="false">COUNTIFS(Quests!$B$2:$B$3000,A8,Quests!$I$2:$I$3000,"Open")</f>
        <v>9</v>
      </c>
      <c r="O8" s="10" t="n">
        <f aca="false">SUMPRODUCT(--(COUNTIFS(Quests!$B$2:$B$3000,A8,Quests!$I$2:$I$3000,"Open",Quests!$E$2:$E$3000,{"Leader";"Planner";"Expert";"Maker";"Checker";"Storyteller";"Patron";"User"})&gt;0))</f>
        <v>8</v>
      </c>
      <c r="P8" s="12" t="n">
        <f aca="false">SUMIF(Budget!$A$2:$A$3000,A8,Budget!$C$2:$C$3000)</f>
        <v>120000</v>
      </c>
      <c r="Q8" s="9" t="s">
        <v>180</v>
      </c>
      <c r="R8" s="9" t="s">
        <v>181</v>
      </c>
      <c r="S8" s="9" t="s">
        <v>182</v>
      </c>
      <c r="T8" s="9" t="s">
        <v>183</v>
      </c>
      <c r="U8" s="13" t="s">
        <v>184</v>
      </c>
      <c r="V8" s="13" t="s">
        <v>185</v>
      </c>
      <c r="W8" s="13" t="s">
        <v>186</v>
      </c>
      <c r="X8" s="13" t="s">
        <v>187</v>
      </c>
      <c r="Y8" s="13" t="s">
        <v>188</v>
      </c>
      <c r="Z8" s="13" t="s">
        <v>189</v>
      </c>
      <c r="AA8" s="13" t="s">
        <v>190</v>
      </c>
      <c r="AB8" s="13" t="s">
        <v>191</v>
      </c>
      <c r="AC8" s="13" t="s">
        <v>192</v>
      </c>
      <c r="AD8" s="14"/>
    </row>
    <row r="9" customFormat="false" ht="168.75" hidden="false" customHeight="true" outlineLevel="0" collapsed="false">
      <c r="A9" s="9" t="s">
        <v>193</v>
      </c>
      <c r="B9" s="9" t="s">
        <v>194</v>
      </c>
      <c r="C9" s="9" t="s">
        <v>195</v>
      </c>
      <c r="D9" s="9" t="s">
        <v>196</v>
      </c>
      <c r="E9" s="9" t="s">
        <v>71</v>
      </c>
      <c r="F9" s="9" t="s">
        <v>197</v>
      </c>
      <c r="G9" s="9" t="n">
        <v>2</v>
      </c>
      <c r="H9" s="10" t="n">
        <f aca="false">COUNTIF(Stages!$A$2:$A$1000,A9)</f>
        <v>4</v>
      </c>
      <c r="I9" s="15" t="n">
        <v>1500000</v>
      </c>
      <c r="J9" s="9" t="s">
        <v>110</v>
      </c>
      <c r="K9" s="9" t="n">
        <v>260</v>
      </c>
      <c r="L9" s="10" t="n">
        <f aca="false">COUNTIF(Squads!$B$2:$B$1000,A9)</f>
        <v>3</v>
      </c>
      <c r="M9" s="10" t="n">
        <f aca="false">COUNTIF(Quests!$B$2:$B$3000,A9)</f>
        <v>16</v>
      </c>
      <c r="N9" s="10" t="n">
        <f aca="false">COUNTIFS(Quests!$B$2:$B$3000,A9,Quests!$I$2:$I$3000,"Open")</f>
        <v>9</v>
      </c>
      <c r="O9" s="10" t="n">
        <f aca="false">SUMPRODUCT(--(COUNTIFS(Quests!$B$2:$B$3000,A9,Quests!$I$2:$I$3000,"Open",Quests!$E$2:$E$3000,{"Leader";"Planner";"Expert";"Maker";"Checker";"Storyteller";"Patron";"User"})&gt;0))</f>
        <v>8</v>
      </c>
      <c r="P9" s="16" t="n">
        <f aca="false">SUMIF(Budget!$A$2:$A$3000,A9,Budget!$C$2:$C$3000)</f>
        <v>1500000</v>
      </c>
      <c r="Q9" s="9" t="s">
        <v>198</v>
      </c>
      <c r="R9" s="9" t="s">
        <v>199</v>
      </c>
      <c r="S9" s="9" t="s">
        <v>200</v>
      </c>
      <c r="T9" s="9" t="s">
        <v>94</v>
      </c>
      <c r="U9" s="13" t="s">
        <v>201</v>
      </c>
      <c r="V9" s="13" t="s">
        <v>202</v>
      </c>
      <c r="W9" s="13" t="s">
        <v>203</v>
      </c>
      <c r="X9" s="13" t="s">
        <v>204</v>
      </c>
      <c r="Y9" s="13" t="s">
        <v>205</v>
      </c>
      <c r="Z9" s="13" t="s">
        <v>206</v>
      </c>
      <c r="AA9" s="13" t="s">
        <v>207</v>
      </c>
      <c r="AB9" s="13" t="s">
        <v>208</v>
      </c>
      <c r="AC9" s="13" t="s">
        <v>209</v>
      </c>
      <c r="AD9" s="14"/>
    </row>
    <row r="10" customFormat="false" ht="157.5" hidden="false" customHeight="true" outlineLevel="0" collapsed="false">
      <c r="A10" s="9" t="s">
        <v>210</v>
      </c>
      <c r="B10" s="9" t="s">
        <v>194</v>
      </c>
      <c r="C10" s="9" t="s">
        <v>211</v>
      </c>
      <c r="D10" s="9" t="s">
        <v>212</v>
      </c>
      <c r="E10" s="9" t="s">
        <v>213</v>
      </c>
      <c r="F10" s="9" t="s">
        <v>214</v>
      </c>
      <c r="G10" s="9" t="n">
        <v>2</v>
      </c>
      <c r="H10" s="10" t="n">
        <f aca="false">COUNTIF(Stages!$A$2:$A$1000,A10)</f>
        <v>4</v>
      </c>
      <c r="I10" s="15" t="n">
        <v>500000</v>
      </c>
      <c r="J10" s="9" t="s">
        <v>110</v>
      </c>
      <c r="K10" s="9" t="n">
        <v>120</v>
      </c>
      <c r="L10" s="10" t="n">
        <f aca="false">COUNTIF(Squads!$B$2:$B$1000,A10)</f>
        <v>2</v>
      </c>
      <c r="M10" s="10" t="n">
        <f aca="false">COUNTIF(Quests!$B$2:$B$3000,A10)</f>
        <v>17</v>
      </c>
      <c r="N10" s="10" t="n">
        <f aca="false">COUNTIFS(Quests!$B$2:$B$3000,A10,Quests!$I$2:$I$3000,"Open")</f>
        <v>11</v>
      </c>
      <c r="O10" s="10" t="n">
        <f aca="false">SUMPRODUCT(--(COUNTIFS(Quests!$B$2:$B$3000,A10,Quests!$I$2:$I$3000,"Open",Quests!$E$2:$E$3000,{"Leader";"Planner";"Expert";"Maker";"Checker";"Storyteller";"Patron";"User"})&gt;0))</f>
        <v>8</v>
      </c>
      <c r="P10" s="16" t="n">
        <f aca="false">SUMIF(Budget!$A$2:$A$3000,A10,Budget!$C$2:$C$3000)</f>
        <v>500000</v>
      </c>
      <c r="Q10" s="9" t="s">
        <v>215</v>
      </c>
      <c r="R10" s="9" t="s">
        <v>216</v>
      </c>
      <c r="S10" s="9" t="s">
        <v>217</v>
      </c>
      <c r="T10" s="9" t="s">
        <v>94</v>
      </c>
      <c r="U10" s="13" t="s">
        <v>218</v>
      </c>
      <c r="V10" s="13" t="s">
        <v>219</v>
      </c>
      <c r="W10" s="13" t="s">
        <v>220</v>
      </c>
      <c r="X10" s="13" t="s">
        <v>221</v>
      </c>
      <c r="Y10" s="13" t="s">
        <v>222</v>
      </c>
      <c r="Z10" s="13" t="s">
        <v>223</v>
      </c>
      <c r="AA10" s="13" t="s">
        <v>224</v>
      </c>
      <c r="AB10" s="13" t="s">
        <v>225</v>
      </c>
      <c r="AC10" s="13" t="s">
        <v>226</v>
      </c>
      <c r="AD10" s="14"/>
    </row>
    <row r="11" customFormat="false" ht="147" hidden="false" customHeight="true" outlineLevel="0" collapsed="false">
      <c r="A11" s="9" t="s">
        <v>227</v>
      </c>
      <c r="B11" s="9" t="s">
        <v>194</v>
      </c>
      <c r="C11" s="9" t="s">
        <v>228</v>
      </c>
      <c r="D11" s="9" t="s">
        <v>229</v>
      </c>
      <c r="E11" s="9" t="s">
        <v>230</v>
      </c>
      <c r="F11" s="9" t="s">
        <v>231</v>
      </c>
      <c r="G11" s="9" t="n">
        <v>1</v>
      </c>
      <c r="H11" s="10" t="n">
        <f aca="false">COUNTIF(Stages!$A$2:$A$1000,A11)</f>
        <v>5</v>
      </c>
      <c r="I11" s="15" t="n">
        <v>800000</v>
      </c>
      <c r="J11" s="9" t="s">
        <v>110</v>
      </c>
      <c r="K11" s="9" t="n">
        <v>340</v>
      </c>
      <c r="L11" s="10" t="n">
        <f aca="false">COUNTIF(Squads!$B$2:$B$1000,A11)</f>
        <v>2</v>
      </c>
      <c r="M11" s="10" t="n">
        <f aca="false">COUNTIF(Quests!$B$2:$B$3000,A11)</f>
        <v>17</v>
      </c>
      <c r="N11" s="10" t="n">
        <f aca="false">COUNTIFS(Quests!$B$2:$B$3000,A11,Quests!$I$2:$I$3000,"Open")</f>
        <v>10</v>
      </c>
      <c r="O11" s="10" t="n">
        <f aca="false">SUMPRODUCT(--(COUNTIFS(Quests!$B$2:$B$3000,A11,Quests!$I$2:$I$3000,"Open",Quests!$E$2:$E$3000,{"Leader";"Planner";"Expert";"Maker";"Checker";"Storyteller";"Patron";"User"})&gt;0))</f>
        <v>8</v>
      </c>
      <c r="P11" s="16" t="n">
        <f aca="false">SUMIF(Budget!$A$2:$A$3000,A11,Budget!$C$2:$C$3000)</f>
        <v>800000</v>
      </c>
      <c r="Q11" s="9" t="s">
        <v>232</v>
      </c>
      <c r="R11" s="9" t="s">
        <v>233</v>
      </c>
      <c r="S11" s="9" t="s">
        <v>234</v>
      </c>
      <c r="T11" s="9" t="s">
        <v>94</v>
      </c>
      <c r="U11" s="13" t="s">
        <v>235</v>
      </c>
      <c r="V11" s="13" t="s">
        <v>236</v>
      </c>
      <c r="W11" s="13" t="s">
        <v>237</v>
      </c>
      <c r="X11" s="13" t="s">
        <v>238</v>
      </c>
      <c r="Y11" s="13" t="s">
        <v>239</v>
      </c>
      <c r="Z11" s="13" t="s">
        <v>240</v>
      </c>
      <c r="AA11" s="13" t="s">
        <v>241</v>
      </c>
      <c r="AB11" s="13" t="s">
        <v>242</v>
      </c>
      <c r="AC11" s="13" t="s">
        <v>243</v>
      </c>
      <c r="AD11" s="14"/>
    </row>
    <row r="12" customFormat="false" ht="157.5" hidden="false" customHeight="true" outlineLevel="0" collapsed="false">
      <c r="A12" s="9" t="s">
        <v>244</v>
      </c>
      <c r="B12" s="9" t="s">
        <v>194</v>
      </c>
      <c r="C12" s="9" t="s">
        <v>245</v>
      </c>
      <c r="D12" s="9" t="s">
        <v>246</v>
      </c>
      <c r="E12" s="9" t="s">
        <v>143</v>
      </c>
      <c r="F12" s="9" t="s">
        <v>247</v>
      </c>
      <c r="G12" s="9" t="n">
        <v>3</v>
      </c>
      <c r="H12" s="10" t="n">
        <f aca="false">COUNTIF(Stages!$A$2:$A$1000,A12)</f>
        <v>6</v>
      </c>
      <c r="I12" s="15" t="n">
        <v>600000</v>
      </c>
      <c r="J12" s="9" t="s">
        <v>110</v>
      </c>
      <c r="K12" s="9" t="n">
        <v>55</v>
      </c>
      <c r="L12" s="10" t="n">
        <f aca="false">COUNTIF(Squads!$B$2:$B$1000,A12)</f>
        <v>2</v>
      </c>
      <c r="M12" s="10" t="n">
        <f aca="false">COUNTIF(Quests!$B$2:$B$3000,A12)</f>
        <v>17</v>
      </c>
      <c r="N12" s="10" t="n">
        <f aca="false">COUNTIFS(Quests!$B$2:$B$3000,A12,Quests!$I$2:$I$3000,"Open")</f>
        <v>10</v>
      </c>
      <c r="O12" s="10" t="n">
        <f aca="false">SUMPRODUCT(--(COUNTIFS(Quests!$B$2:$B$3000,A12,Quests!$I$2:$I$3000,"Open",Quests!$E$2:$E$3000,{"Leader";"Planner";"Expert";"Maker";"Checker";"Storyteller";"Patron";"User"})&gt;0))</f>
        <v>8</v>
      </c>
      <c r="P12" s="16" t="n">
        <f aca="false">SUMIF(Budget!$A$2:$A$3000,A12,Budget!$C$2:$C$3000)</f>
        <v>600000</v>
      </c>
      <c r="Q12" s="9" t="s">
        <v>248</v>
      </c>
      <c r="R12" s="9" t="s">
        <v>249</v>
      </c>
      <c r="S12" s="9" t="s">
        <v>250</v>
      </c>
      <c r="T12" s="9" t="s">
        <v>94</v>
      </c>
      <c r="U12" s="13" t="s">
        <v>251</v>
      </c>
      <c r="V12" s="13" t="s">
        <v>252</v>
      </c>
      <c r="W12" s="13" t="s">
        <v>253</v>
      </c>
      <c r="X12" s="13" t="s">
        <v>254</v>
      </c>
      <c r="Y12" s="13" t="s">
        <v>255</v>
      </c>
      <c r="Z12" s="13" t="s">
        <v>256</v>
      </c>
      <c r="AA12" s="13" t="s">
        <v>257</v>
      </c>
      <c r="AB12" s="13" t="s">
        <v>258</v>
      </c>
      <c r="AC12" s="13" t="s">
        <v>259</v>
      </c>
      <c r="AD12" s="14"/>
    </row>
    <row r="13" customFormat="false" ht="157.5" hidden="false" customHeight="true" outlineLevel="0" collapsed="false">
      <c r="A13" s="9" t="s">
        <v>260</v>
      </c>
      <c r="B13" s="9" t="s">
        <v>194</v>
      </c>
      <c r="C13" s="9" t="s">
        <v>261</v>
      </c>
      <c r="D13" s="9" t="s">
        <v>262</v>
      </c>
      <c r="E13" s="9" t="s">
        <v>263</v>
      </c>
      <c r="F13" s="9" t="s">
        <v>264</v>
      </c>
      <c r="G13" s="9" t="n">
        <v>1</v>
      </c>
      <c r="H13" s="10" t="n">
        <f aca="false">COUNTIF(Stages!$A$2:$A$1000,A13)</f>
        <v>4</v>
      </c>
      <c r="I13" s="11" t="n">
        <v>25000</v>
      </c>
      <c r="J13" s="9" t="s">
        <v>73</v>
      </c>
      <c r="K13" s="9" t="n">
        <v>12</v>
      </c>
      <c r="L13" s="10" t="n">
        <f aca="false">COUNTIF(Squads!$B$2:$B$1000,A13)</f>
        <v>2</v>
      </c>
      <c r="M13" s="10" t="n">
        <f aca="false">COUNTIF(Quests!$B$2:$B$3000,A13)</f>
        <v>16</v>
      </c>
      <c r="N13" s="10" t="n">
        <f aca="false">COUNTIFS(Quests!$B$2:$B$3000,A13,Quests!$I$2:$I$3000,"Open")</f>
        <v>9</v>
      </c>
      <c r="O13" s="10" t="n">
        <f aca="false">SUMPRODUCT(--(COUNTIFS(Quests!$B$2:$B$3000,A13,Quests!$I$2:$I$3000,"Open",Quests!$E$2:$E$3000,{"Leader";"Planner";"Expert";"Maker";"Checker";"Storyteller";"Patron";"User"})&gt;0))</f>
        <v>8</v>
      </c>
      <c r="P13" s="12" t="n">
        <f aca="false">SUMIF(Budget!$A$2:$A$3000,A13,Budget!$C$2:$C$3000)</f>
        <v>25000</v>
      </c>
      <c r="Q13" s="9" t="s">
        <v>265</v>
      </c>
      <c r="R13" s="9" t="s">
        <v>266</v>
      </c>
      <c r="S13" s="9" t="s">
        <v>267</v>
      </c>
      <c r="T13" s="9" t="s">
        <v>94</v>
      </c>
      <c r="U13" s="13" t="s">
        <v>268</v>
      </c>
      <c r="V13" s="13" t="s">
        <v>269</v>
      </c>
      <c r="W13" s="13" t="s">
        <v>270</v>
      </c>
      <c r="X13" s="13" t="s">
        <v>271</v>
      </c>
      <c r="Y13" s="13" t="s">
        <v>272</v>
      </c>
      <c r="Z13" s="13" t="s">
        <v>273</v>
      </c>
      <c r="AA13" s="13" t="s">
        <v>274</v>
      </c>
      <c r="AB13" s="13" t="s">
        <v>275</v>
      </c>
      <c r="AC13" s="13" t="s">
        <v>276</v>
      </c>
      <c r="AD13" s="14"/>
    </row>
    <row r="14" customFormat="false" ht="213.75" hidden="false" customHeight="true" outlineLevel="0" collapsed="false">
      <c r="A14" s="9" t="s">
        <v>277</v>
      </c>
      <c r="B14" s="9" t="s">
        <v>194</v>
      </c>
      <c r="C14" s="9" t="s">
        <v>278</v>
      </c>
      <c r="D14" s="9" t="s">
        <v>279</v>
      </c>
      <c r="E14" s="9" t="s">
        <v>280</v>
      </c>
      <c r="F14" s="9" t="s">
        <v>281</v>
      </c>
      <c r="G14" s="9" t="n">
        <v>1</v>
      </c>
      <c r="H14" s="10" t="n">
        <f aca="false">COUNTIF(Stages!$A$2:$A$1000,A14)</f>
        <v>5</v>
      </c>
      <c r="I14" s="11" t="n">
        <v>8000</v>
      </c>
      <c r="J14" s="9" t="s">
        <v>73</v>
      </c>
      <c r="K14" s="9" t="n">
        <v>24</v>
      </c>
      <c r="L14" s="10" t="n">
        <f aca="false">COUNTIF(Squads!$B$2:$B$1000,A14)</f>
        <v>2</v>
      </c>
      <c r="M14" s="10" t="n">
        <f aca="false">COUNTIF(Quests!$B$2:$B$3000,A14)</f>
        <v>16</v>
      </c>
      <c r="N14" s="10" t="n">
        <f aca="false">COUNTIFS(Quests!$B$2:$B$3000,A14,Quests!$I$2:$I$3000,"Open")</f>
        <v>10</v>
      </c>
      <c r="O14" s="10" t="n">
        <f aca="false">SUMPRODUCT(--(COUNTIFS(Quests!$B$2:$B$3000,A14,Quests!$I$2:$I$3000,"Open",Quests!$E$2:$E$3000,{"Leader";"Planner";"Expert";"Maker";"Checker";"Storyteller";"Patron";"User"})&gt;0))</f>
        <v>8</v>
      </c>
      <c r="P14" s="12" t="n">
        <f aca="false">SUMIF(Budget!$A$2:$A$3000,A14,Budget!$C$2:$C$3000)</f>
        <v>8000</v>
      </c>
      <c r="Q14" s="9" t="s">
        <v>282</v>
      </c>
      <c r="R14" s="9" t="s">
        <v>283</v>
      </c>
      <c r="S14" s="9" t="s">
        <v>284</v>
      </c>
      <c r="T14" s="9" t="s">
        <v>94</v>
      </c>
      <c r="U14" s="13" t="s">
        <v>285</v>
      </c>
      <c r="V14" s="13" t="s">
        <v>286</v>
      </c>
      <c r="W14" s="13" t="s">
        <v>287</v>
      </c>
      <c r="X14" s="13" t="s">
        <v>288</v>
      </c>
      <c r="Y14" s="13" t="s">
        <v>289</v>
      </c>
      <c r="Z14" s="13" t="s">
        <v>290</v>
      </c>
      <c r="AA14" s="13" t="s">
        <v>291</v>
      </c>
      <c r="AB14" s="13" t="s">
        <v>292</v>
      </c>
      <c r="AC14" s="13" t="s">
        <v>293</v>
      </c>
      <c r="AD14" s="14"/>
    </row>
    <row r="15" customFormat="false" ht="102" hidden="false" customHeight="true" outlineLevel="0" collapsed="false">
      <c r="A15" s="9" t="s">
        <v>294</v>
      </c>
      <c r="B15" s="9" t="s">
        <v>194</v>
      </c>
      <c r="C15" s="9" t="s">
        <v>295</v>
      </c>
      <c r="D15" s="9" t="s">
        <v>296</v>
      </c>
      <c r="E15" s="9" t="s">
        <v>297</v>
      </c>
      <c r="F15" s="9" t="s">
        <v>298</v>
      </c>
      <c r="G15" s="9" t="n">
        <v>3</v>
      </c>
      <c r="H15" s="10" t="n">
        <f aca="false">COUNTIF(Stages!$A$2:$A$1000,A15)</f>
        <v>3</v>
      </c>
      <c r="I15" s="11" t="n">
        <v>12000</v>
      </c>
      <c r="J15" s="9" t="s">
        <v>73</v>
      </c>
      <c r="K15" s="9" t="n">
        <v>140</v>
      </c>
      <c r="L15" s="10" t="n">
        <f aca="false">COUNTIF(Squads!$B$2:$B$1000,A15)</f>
        <v>1</v>
      </c>
      <c r="M15" s="10" t="n">
        <f aca="false">COUNTIF(Quests!$B$2:$B$3000,A15)</f>
        <v>6</v>
      </c>
      <c r="N15" s="10" t="n">
        <f aca="false">COUNTIFS(Quests!$B$2:$B$3000,A15,Quests!$I$2:$I$3000,"Open")</f>
        <v>0</v>
      </c>
      <c r="O15" s="10" t="n">
        <f aca="false">SUMPRODUCT(--(COUNTIFS(Quests!$B$2:$B$3000,A15,Quests!$I$2:$I$3000,"Open",Quests!$E$2:$E$3000,{"Leader";"Planner";"Expert";"Maker";"Checker";"Storyteller";"Patron";"User"})&gt;0))</f>
        <v>0</v>
      </c>
      <c r="P15" s="12" t="n">
        <f aca="false">SUMIF(Budget!$A$2:$A$3000,A15,Budget!$C$2:$C$3000)</f>
        <v>12000</v>
      </c>
      <c r="Q15" s="9" t="s">
        <v>299</v>
      </c>
      <c r="R15" s="9" t="s">
        <v>300</v>
      </c>
      <c r="S15" s="9" t="s">
        <v>301</v>
      </c>
      <c r="T15" s="9" t="s">
        <v>302</v>
      </c>
      <c r="U15" s="13" t="s">
        <v>303</v>
      </c>
      <c r="V15" s="13" t="s">
        <v>304</v>
      </c>
      <c r="W15" s="13" t="s">
        <v>305</v>
      </c>
      <c r="X15" s="13" t="s">
        <v>306</v>
      </c>
      <c r="Y15" s="13" t="s">
        <v>307</v>
      </c>
      <c r="Z15" s="13" t="s">
        <v>308</v>
      </c>
      <c r="AA15" s="13" t="s">
        <v>309</v>
      </c>
      <c r="AB15" s="13" t="s">
        <v>310</v>
      </c>
      <c r="AC15" s="13" t="s">
        <v>311</v>
      </c>
      <c r="AD15" s="14"/>
    </row>
    <row r="16" customFormat="false" ht="102" hidden="false" customHeight="true" outlineLevel="0" collapsed="false">
      <c r="A16" s="9" t="s">
        <v>312</v>
      </c>
      <c r="B16" s="9" t="s">
        <v>68</v>
      </c>
      <c r="C16" s="9" t="s">
        <v>313</v>
      </c>
      <c r="D16" s="9" t="s">
        <v>314</v>
      </c>
      <c r="E16" s="9" t="s">
        <v>315</v>
      </c>
      <c r="F16" s="9" t="s">
        <v>316</v>
      </c>
      <c r="G16" s="9" t="n">
        <v>4</v>
      </c>
      <c r="H16" s="10" t="n">
        <f aca="false">COUNTIF(Stages!$A$2:$A$1000,A16)</f>
        <v>4</v>
      </c>
      <c r="I16" s="11" t="n">
        <v>15000</v>
      </c>
      <c r="J16" s="9" t="s">
        <v>73</v>
      </c>
      <c r="K16" s="9" t="n">
        <v>85</v>
      </c>
      <c r="L16" s="10" t="n">
        <f aca="false">COUNTIF(Squads!$B$2:$B$1000,A16)</f>
        <v>1</v>
      </c>
      <c r="M16" s="10" t="n">
        <f aca="false">COUNTIF(Quests!$B$2:$B$3000,A16)</f>
        <v>5</v>
      </c>
      <c r="N16" s="10" t="n">
        <f aca="false">COUNTIFS(Quests!$B$2:$B$3000,A16,Quests!$I$2:$I$3000,"Open")</f>
        <v>0</v>
      </c>
      <c r="O16" s="10" t="n">
        <f aca="false">SUMPRODUCT(--(COUNTIFS(Quests!$B$2:$B$3000,A16,Quests!$I$2:$I$3000,"Open",Quests!$E$2:$E$3000,{"Leader";"Planner";"Expert";"Maker";"Checker";"Storyteller";"Patron";"User"})&gt;0))</f>
        <v>0</v>
      </c>
      <c r="P16" s="12" t="n">
        <f aca="false">SUMIF(Budget!$A$2:$A$3000,A16,Budget!$C$2:$C$3000)</f>
        <v>15000</v>
      </c>
      <c r="Q16" s="9" t="s">
        <v>299</v>
      </c>
      <c r="R16" s="9" t="s">
        <v>300</v>
      </c>
      <c r="S16" s="9" t="s">
        <v>76</v>
      </c>
      <c r="T16" s="9" t="s">
        <v>302</v>
      </c>
      <c r="U16" s="13" t="s">
        <v>317</v>
      </c>
      <c r="V16" s="13" t="s">
        <v>318</v>
      </c>
      <c r="W16" s="13" t="s">
        <v>319</v>
      </c>
      <c r="X16" s="13" t="s">
        <v>320</v>
      </c>
      <c r="Y16" s="13" t="s">
        <v>321</v>
      </c>
      <c r="Z16" s="13" t="s">
        <v>322</v>
      </c>
      <c r="AA16" s="13" t="s">
        <v>323</v>
      </c>
      <c r="AB16" s="13" t="s">
        <v>324</v>
      </c>
      <c r="AC16" s="13" t="s">
        <v>325</v>
      </c>
      <c r="AD16" s="14"/>
    </row>
    <row r="17" customFormat="false" ht="135.75" hidden="false" customHeight="true" outlineLevel="0" collapsed="false">
      <c r="A17" s="9" t="s">
        <v>326</v>
      </c>
      <c r="B17" s="9" t="s">
        <v>194</v>
      </c>
      <c r="C17" s="9" t="s">
        <v>327</v>
      </c>
      <c r="D17" s="9" t="s">
        <v>328</v>
      </c>
      <c r="E17" s="9" t="s">
        <v>297</v>
      </c>
      <c r="F17" s="9" t="s">
        <v>329</v>
      </c>
      <c r="G17" s="9" t="n">
        <v>4</v>
      </c>
      <c r="H17" s="10" t="n">
        <f aca="false">COUNTIF(Stages!$A$2:$A$1000,A17)</f>
        <v>4</v>
      </c>
      <c r="I17" s="15" t="n">
        <v>400000</v>
      </c>
      <c r="J17" s="9" t="s">
        <v>110</v>
      </c>
      <c r="K17" s="9" t="n">
        <v>160</v>
      </c>
      <c r="L17" s="10" t="n">
        <f aca="false">COUNTIF(Squads!$B$2:$B$1000,A17)</f>
        <v>1</v>
      </c>
      <c r="M17" s="10" t="n">
        <f aca="false">COUNTIF(Quests!$B$2:$B$3000,A17)</f>
        <v>6</v>
      </c>
      <c r="N17" s="10" t="n">
        <f aca="false">COUNTIFS(Quests!$B$2:$B$3000,A17,Quests!$I$2:$I$3000,"Open")</f>
        <v>0</v>
      </c>
      <c r="O17" s="10" t="n">
        <f aca="false">SUMPRODUCT(--(COUNTIFS(Quests!$B$2:$B$3000,A17,Quests!$I$2:$I$3000,"Open",Quests!$E$2:$E$3000,{"Leader";"Planner";"Expert";"Maker";"Checker";"Storyteller";"Patron";"User"})&gt;0))</f>
        <v>0</v>
      </c>
      <c r="P17" s="16" t="n">
        <f aca="false">SUMIF(Budget!$A$2:$A$3000,A17,Budget!$C$2:$C$3000)</f>
        <v>400000</v>
      </c>
      <c r="Q17" s="9" t="s">
        <v>330</v>
      </c>
      <c r="R17" s="9" t="s">
        <v>331</v>
      </c>
      <c r="S17" s="9" t="s">
        <v>332</v>
      </c>
      <c r="T17" s="9" t="s">
        <v>302</v>
      </c>
      <c r="U17" s="13" t="s">
        <v>333</v>
      </c>
      <c r="V17" s="13" t="s">
        <v>334</v>
      </c>
      <c r="W17" s="13" t="s">
        <v>335</v>
      </c>
      <c r="X17" s="13" t="s">
        <v>336</v>
      </c>
      <c r="Y17" s="13" t="s">
        <v>337</v>
      </c>
      <c r="Z17" s="13" t="s">
        <v>338</v>
      </c>
      <c r="AA17" s="13" t="s">
        <v>339</v>
      </c>
      <c r="AB17" s="13" t="s">
        <v>340</v>
      </c>
      <c r="AC17" s="13" t="s">
        <v>341</v>
      </c>
      <c r="AD17" s="14"/>
    </row>
    <row r="18" customFormat="false" ht="102" hidden="false" customHeight="true" outlineLevel="0" collapsed="false">
      <c r="A18" s="9" t="s">
        <v>342</v>
      </c>
      <c r="B18" s="9" t="s">
        <v>140</v>
      </c>
      <c r="C18" s="9" t="s">
        <v>343</v>
      </c>
      <c r="D18" s="9" t="s">
        <v>344</v>
      </c>
      <c r="E18" s="9" t="s">
        <v>345</v>
      </c>
      <c r="F18" s="9" t="s">
        <v>346</v>
      </c>
      <c r="G18" s="9" t="n">
        <v>2</v>
      </c>
      <c r="H18" s="10" t="n">
        <f aca="false">COUNTIF(Stages!$A$2:$A$1000,A18)</f>
        <v>2</v>
      </c>
      <c r="I18" s="11" t="n">
        <v>18000</v>
      </c>
      <c r="J18" s="9" t="s">
        <v>73</v>
      </c>
      <c r="K18" s="9" t="n">
        <v>61</v>
      </c>
      <c r="L18" s="10" t="n">
        <f aca="false">COUNTIF(Squads!$B$2:$B$1000,A18)</f>
        <v>1</v>
      </c>
      <c r="M18" s="10" t="n">
        <f aca="false">COUNTIF(Quests!$B$2:$B$3000,A18)</f>
        <v>5</v>
      </c>
      <c r="N18" s="10" t="n">
        <f aca="false">COUNTIFS(Quests!$B$2:$B$3000,A18,Quests!$I$2:$I$3000,"Open")</f>
        <v>0</v>
      </c>
      <c r="O18" s="10" t="n">
        <f aca="false">SUMPRODUCT(--(COUNTIFS(Quests!$B$2:$B$3000,A18,Quests!$I$2:$I$3000,"Open",Quests!$E$2:$E$3000,{"Leader";"Planner";"Expert";"Maker";"Checker";"Storyteller";"Patron";"User"})&gt;0))</f>
        <v>0</v>
      </c>
      <c r="P18" s="12" t="n">
        <f aca="false">SUMIF(Budget!$A$2:$A$3000,A18,Budget!$C$2:$C$3000)</f>
        <v>18000</v>
      </c>
      <c r="Q18" s="9" t="s">
        <v>347</v>
      </c>
      <c r="R18" s="9" t="s">
        <v>348</v>
      </c>
      <c r="S18" s="9" t="s">
        <v>76</v>
      </c>
      <c r="T18" s="9" t="s">
        <v>302</v>
      </c>
      <c r="U18" s="13" t="s">
        <v>349</v>
      </c>
      <c r="V18" s="13" t="s">
        <v>350</v>
      </c>
      <c r="W18" s="13" t="s">
        <v>351</v>
      </c>
      <c r="X18" s="13" t="s">
        <v>352</v>
      </c>
      <c r="Y18" s="13" t="s">
        <v>353</v>
      </c>
      <c r="Z18" s="13" t="s">
        <v>354</v>
      </c>
      <c r="AA18" s="13" t="s">
        <v>355</v>
      </c>
      <c r="AB18" s="13" t="s">
        <v>356</v>
      </c>
      <c r="AC18" s="13" t="s">
        <v>357</v>
      </c>
      <c r="AD18" s="14"/>
    </row>
  </sheetData>
  <autoFilter ref="A1:AD18"/>
  <dataValidations count="2">
    <dataValidation allowBlank="true" errorStyle="stop" operator="between" showDropDown="false" showErrorMessage="false" showInputMessage="false" sqref="B2:B1000" type="list">
      <formula1>"Health,Planet,Learning,AI,Society"</formula1>
      <formula2>0</formula2>
    </dataValidation>
    <dataValidation allowBlank="true" errorStyle="stop" operator="between" showDropDown="false" showErrorMessage="false" showInputMessage="false" sqref="J2:J1000"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
    <col collapsed="false" customWidth="true" hidden="false" outlineLevel="0" max="3" min="3" style="1" width="13"/>
    <col collapsed="false" customWidth="true" hidden="false" outlineLevel="0" max="4" min="4" style="1" width="38"/>
    <col collapsed="false" customWidth="true" hidden="false" outlineLevel="0" max="5" min="5" style="1" width="9"/>
    <col collapsed="false" customWidth="true" hidden="false" outlineLevel="0" max="6" min="6" style="1" width="12"/>
    <col collapsed="false" customWidth="true" hidden="false" outlineLevel="0" max="7" min="7" style="1" width="9"/>
    <col collapsed="false" customWidth="true" hidden="false" outlineLevel="0" max="8" min="8" style="1" width="7"/>
    <col collapsed="false" customWidth="true" hidden="false" outlineLevel="0" max="9" min="9" style="1" width="8"/>
    <col collapsed="false" customWidth="true" hidden="false" outlineLevel="0" max="12" min="10" style="1" width="40"/>
    <col collapsed="false" customWidth="true" hidden="false" outlineLevel="0" max="13" min="13" style="1" width="55"/>
    <col collapsed="false" customWidth="true" hidden="false" outlineLevel="0" max="14" min="14" style="1" width="45"/>
    <col collapsed="false" customWidth="true" hidden="false" outlineLevel="0" max="15" min="15" style="1" width="24"/>
    <col collapsed="false" customWidth="true" hidden="false" outlineLevel="0" max="16" min="16" style="1" width="30"/>
    <col collapsed="false" customWidth="true" hidden="false" outlineLevel="0" max="17" min="17" style="1" width="40"/>
    <col collapsed="false" customWidth="true" hidden="false" outlineLevel="0" max="18" min="18" style="1" width="8"/>
    <col collapsed="false" customWidth="true" hidden="false" outlineLevel="0" max="19" min="19" style="1" width="12"/>
    <col collapsed="false" customWidth="true" hidden="false" outlineLevel="0" max="20" min="20" style="1" width="7"/>
    <col collapsed="false" customWidth="true" hidden="false" outlineLevel="0" max="21" min="21" style="1" width="30"/>
  </cols>
  <sheetData>
    <row r="1" customFormat="false" ht="31.5" hidden="false" customHeight="true" outlineLevel="0" collapsed="false">
      <c r="A1" s="7" t="s">
        <v>41</v>
      </c>
      <c r="B1" s="7" t="s">
        <v>358</v>
      </c>
      <c r="C1" s="7" t="s">
        <v>359</v>
      </c>
      <c r="D1" s="7" t="s">
        <v>360</v>
      </c>
      <c r="E1" s="7" t="s">
        <v>361</v>
      </c>
      <c r="F1" s="7" t="s">
        <v>362</v>
      </c>
      <c r="G1" s="7" t="s">
        <v>363</v>
      </c>
      <c r="H1" s="7" t="s">
        <v>364</v>
      </c>
      <c r="I1" s="7" t="s">
        <v>365</v>
      </c>
      <c r="J1" s="7" t="s">
        <v>366</v>
      </c>
      <c r="K1" s="8" t="s">
        <v>367</v>
      </c>
      <c r="L1" s="8" t="s">
        <v>368</v>
      </c>
      <c r="M1" s="8" t="s">
        <v>369</v>
      </c>
      <c r="N1" s="8" t="s">
        <v>370</v>
      </c>
      <c r="O1" s="8" t="s">
        <v>371</v>
      </c>
      <c r="P1" s="8" t="s">
        <v>372</v>
      </c>
      <c r="Q1" s="8" t="s">
        <v>373</v>
      </c>
      <c r="R1" s="8" t="s">
        <v>374</v>
      </c>
      <c r="S1" s="8" t="s">
        <v>375</v>
      </c>
      <c r="T1" s="8" t="s">
        <v>13</v>
      </c>
      <c r="U1" s="7" t="s">
        <v>66</v>
      </c>
    </row>
    <row r="2" customFormat="false" ht="34.5" hidden="false" customHeight="true" outlineLevel="0" collapsed="false">
      <c r="A2" s="9" t="s">
        <v>67</v>
      </c>
      <c r="B2" s="9" t="n">
        <v>1</v>
      </c>
      <c r="C2" s="9" t="s">
        <v>376</v>
      </c>
      <c r="D2" s="9" t="s">
        <v>377</v>
      </c>
      <c r="E2" s="17" t="n">
        <v>40</v>
      </c>
      <c r="F2" s="9" t="s">
        <v>378</v>
      </c>
      <c r="G2" s="17" t="n">
        <v>40</v>
      </c>
      <c r="H2" s="18" t="n">
        <f aca="false">IFERROR(G2/E2,0)</f>
        <v>1</v>
      </c>
      <c r="I2" s="9" t="s">
        <v>379</v>
      </c>
      <c r="J2" s="9" t="s">
        <v>380</v>
      </c>
      <c r="K2" s="13" t="s">
        <v>381</v>
      </c>
      <c r="L2" s="13" t="s">
        <v>382</v>
      </c>
      <c r="M2" s="13" t="s">
        <v>383</v>
      </c>
      <c r="N2" s="13" t="s">
        <v>384</v>
      </c>
      <c r="O2" s="13" t="s">
        <v>385</v>
      </c>
      <c r="P2" s="13" t="s">
        <v>386</v>
      </c>
      <c r="Q2" s="13" t="s">
        <v>387</v>
      </c>
      <c r="R2" s="19" t="n">
        <v>0.05</v>
      </c>
      <c r="S2" s="13" t="s">
        <v>388</v>
      </c>
      <c r="T2" s="10" t="n">
        <f aca="false">COUNTIFS(Quests!$B$2:$B$3000,A2,Quests!$L$2:$L$3000,B2)</f>
        <v>1</v>
      </c>
      <c r="U2" s="14"/>
    </row>
    <row r="3" customFormat="false" ht="34.5" hidden="false" customHeight="true" outlineLevel="0" collapsed="false">
      <c r="A3" s="9" t="s">
        <v>67</v>
      </c>
      <c r="B3" s="9" t="n">
        <v>2</v>
      </c>
      <c r="C3" s="9" t="s">
        <v>389</v>
      </c>
      <c r="D3" s="9" t="s">
        <v>390</v>
      </c>
      <c r="E3" s="17" t="n">
        <v>50</v>
      </c>
      <c r="F3" s="9" t="s">
        <v>391</v>
      </c>
      <c r="G3" s="17" t="n">
        <v>50</v>
      </c>
      <c r="H3" s="18" t="n">
        <f aca="false">IFERROR(G3/E3,0)</f>
        <v>1</v>
      </c>
      <c r="I3" s="9" t="s">
        <v>379</v>
      </c>
      <c r="J3" s="9" t="s">
        <v>392</v>
      </c>
      <c r="K3" s="13" t="s">
        <v>393</v>
      </c>
      <c r="L3" s="13" t="s">
        <v>394</v>
      </c>
      <c r="M3" s="13" t="s">
        <v>395</v>
      </c>
      <c r="N3" s="13" t="s">
        <v>396</v>
      </c>
      <c r="O3" s="13" t="s">
        <v>397</v>
      </c>
      <c r="P3" s="13" t="s">
        <v>398</v>
      </c>
      <c r="Q3" s="13" t="s">
        <v>399</v>
      </c>
      <c r="R3" s="19" t="n">
        <v>0.1</v>
      </c>
      <c r="S3" s="13" t="s">
        <v>400</v>
      </c>
      <c r="T3" s="10" t="n">
        <f aca="false">COUNTIFS(Quests!$B$2:$B$3000,A3,Quests!$L$2:$L$3000,B3)</f>
        <v>1</v>
      </c>
      <c r="U3" s="14"/>
    </row>
    <row r="4" customFormat="false" ht="45.75" hidden="false" customHeight="true" outlineLevel="0" collapsed="false">
      <c r="A4" s="9" t="s">
        <v>67</v>
      </c>
      <c r="B4" s="9" t="n">
        <v>3</v>
      </c>
      <c r="C4" s="9" t="s">
        <v>401</v>
      </c>
      <c r="D4" s="9" t="s">
        <v>402</v>
      </c>
      <c r="E4" s="17" t="n">
        <v>10</v>
      </c>
      <c r="F4" s="9" t="s">
        <v>403</v>
      </c>
      <c r="G4" s="17" t="n">
        <v>4</v>
      </c>
      <c r="H4" s="18" t="n">
        <f aca="false">IFERROR(G4/E4,0)</f>
        <v>0.4</v>
      </c>
      <c r="I4" s="9" t="s">
        <v>404</v>
      </c>
      <c r="J4" s="9" t="s">
        <v>405</v>
      </c>
      <c r="K4" s="13" t="s">
        <v>406</v>
      </c>
      <c r="L4" s="13" t="s">
        <v>407</v>
      </c>
      <c r="M4" s="13" t="s">
        <v>408</v>
      </c>
      <c r="N4" s="13" t="s">
        <v>409</v>
      </c>
      <c r="O4" s="13" t="s">
        <v>410</v>
      </c>
      <c r="P4" s="13" t="s">
        <v>411</v>
      </c>
      <c r="Q4" s="13" t="s">
        <v>412</v>
      </c>
      <c r="R4" s="19" t="n">
        <v>0.3</v>
      </c>
      <c r="S4" s="13" t="s">
        <v>413</v>
      </c>
      <c r="T4" s="10" t="n">
        <f aca="false">COUNTIFS(Quests!$B$2:$B$3000,A4,Quests!$L$2:$L$3000,B4)</f>
        <v>12</v>
      </c>
      <c r="U4" s="14"/>
    </row>
    <row r="5" customFormat="false" ht="34.5" hidden="false" customHeight="true" outlineLevel="0" collapsed="false">
      <c r="A5" s="9" t="s">
        <v>67</v>
      </c>
      <c r="B5" s="9" t="n">
        <v>4</v>
      </c>
      <c r="C5" s="9" t="s">
        <v>414</v>
      </c>
      <c r="D5" s="9" t="s">
        <v>415</v>
      </c>
      <c r="E5" s="17" t="n">
        <v>10</v>
      </c>
      <c r="F5" s="9" t="s">
        <v>416</v>
      </c>
      <c r="G5" s="17" t="n">
        <v>0</v>
      </c>
      <c r="H5" s="18" t="n">
        <f aca="false">IFERROR(G5/E5,0)</f>
        <v>0</v>
      </c>
      <c r="I5" s="9" t="s">
        <v>417</v>
      </c>
      <c r="J5" s="9" t="s">
        <v>418</v>
      </c>
      <c r="K5" s="13" t="s">
        <v>419</v>
      </c>
      <c r="L5" s="13" t="s">
        <v>420</v>
      </c>
      <c r="M5" s="13" t="s">
        <v>421</v>
      </c>
      <c r="N5" s="13" t="s">
        <v>422</v>
      </c>
      <c r="O5" s="13" t="s">
        <v>423</v>
      </c>
      <c r="P5" s="13" t="s">
        <v>424</v>
      </c>
      <c r="Q5" s="13" t="s">
        <v>425</v>
      </c>
      <c r="R5" s="19" t="n">
        <v>0.4</v>
      </c>
      <c r="S5" s="13" t="s">
        <v>426</v>
      </c>
      <c r="T5" s="10" t="n">
        <f aca="false">COUNTIFS(Quests!$B$2:$B$3000,A5,Quests!$L$2:$L$3000,B5)</f>
        <v>1</v>
      </c>
      <c r="U5" s="14"/>
    </row>
    <row r="6" customFormat="false" ht="34.5" hidden="false" customHeight="true" outlineLevel="0" collapsed="false">
      <c r="A6" s="9" t="s">
        <v>67</v>
      </c>
      <c r="B6" s="9" t="n">
        <v>5</v>
      </c>
      <c r="C6" s="9" t="s">
        <v>427</v>
      </c>
      <c r="D6" s="9" t="s">
        <v>428</v>
      </c>
      <c r="E6" s="17" t="n">
        <v>1</v>
      </c>
      <c r="F6" s="9" t="s">
        <v>429</v>
      </c>
      <c r="G6" s="17" t="n">
        <v>0</v>
      </c>
      <c r="H6" s="18" t="n">
        <f aca="false">IFERROR(G6/E6,0)</f>
        <v>0</v>
      </c>
      <c r="I6" s="9" t="s">
        <v>417</v>
      </c>
      <c r="J6" s="9" t="s">
        <v>430</v>
      </c>
      <c r="K6" s="13" t="s">
        <v>431</v>
      </c>
      <c r="L6" s="13" t="s">
        <v>432</v>
      </c>
      <c r="M6" s="13" t="s">
        <v>433</v>
      </c>
      <c r="N6" s="13" t="s">
        <v>434</v>
      </c>
      <c r="O6" s="13" t="s">
        <v>435</v>
      </c>
      <c r="P6" s="13" t="s">
        <v>436</v>
      </c>
      <c r="Q6" s="13" t="s">
        <v>437</v>
      </c>
      <c r="R6" s="19" t="n">
        <v>0.15</v>
      </c>
      <c r="S6" s="13" t="s">
        <v>438</v>
      </c>
      <c r="T6" s="10" t="n">
        <f aca="false">COUNTIFS(Quests!$B$2:$B$3000,A6,Quests!$L$2:$L$3000,B6)</f>
        <v>1</v>
      </c>
      <c r="U6" s="14"/>
    </row>
    <row r="7" customFormat="false" ht="45.75" hidden="false" customHeight="true" outlineLevel="0" collapsed="false">
      <c r="A7" s="9" t="s">
        <v>87</v>
      </c>
      <c r="B7" s="9" t="n">
        <v>1</v>
      </c>
      <c r="C7" s="9" t="s">
        <v>439</v>
      </c>
      <c r="D7" s="9" t="s">
        <v>440</v>
      </c>
      <c r="E7" s="17" t="n">
        <v>20</v>
      </c>
      <c r="F7" s="9" t="s">
        <v>441</v>
      </c>
      <c r="G7" s="17" t="n">
        <v>14</v>
      </c>
      <c r="H7" s="18" t="n">
        <f aca="false">IFERROR(G7/E7,0)</f>
        <v>0.7</v>
      </c>
      <c r="I7" s="9" t="s">
        <v>404</v>
      </c>
      <c r="J7" s="9" t="s">
        <v>442</v>
      </c>
      <c r="K7" s="13" t="s">
        <v>443</v>
      </c>
      <c r="L7" s="13" t="s">
        <v>444</v>
      </c>
      <c r="M7" s="13" t="s">
        <v>445</v>
      </c>
      <c r="N7" s="13" t="s">
        <v>446</v>
      </c>
      <c r="O7" s="13" t="s">
        <v>447</v>
      </c>
      <c r="P7" s="13" t="s">
        <v>448</v>
      </c>
      <c r="Q7" s="13" t="s">
        <v>449</v>
      </c>
      <c r="R7" s="19" t="n">
        <v>0.15</v>
      </c>
      <c r="S7" s="13" t="s">
        <v>388</v>
      </c>
      <c r="T7" s="10" t="n">
        <f aca="false">COUNTIFS(Quests!$B$2:$B$3000,A7,Quests!$L$2:$L$3000,B7)</f>
        <v>12</v>
      </c>
      <c r="U7" s="14"/>
    </row>
    <row r="8" customFormat="false" ht="45.75" hidden="false" customHeight="true" outlineLevel="0" collapsed="false">
      <c r="A8" s="9" t="s">
        <v>87</v>
      </c>
      <c r="B8" s="9" t="n">
        <v>2</v>
      </c>
      <c r="C8" s="9" t="s">
        <v>450</v>
      </c>
      <c r="D8" s="9" t="s">
        <v>451</v>
      </c>
      <c r="E8" s="17" t="n">
        <v>50</v>
      </c>
      <c r="F8" s="9" t="s">
        <v>452</v>
      </c>
      <c r="G8" s="17" t="n">
        <v>0</v>
      </c>
      <c r="H8" s="18" t="n">
        <f aca="false">IFERROR(G8/E8,0)</f>
        <v>0</v>
      </c>
      <c r="I8" s="9" t="s">
        <v>417</v>
      </c>
      <c r="J8" s="9" t="s">
        <v>453</v>
      </c>
      <c r="K8" s="13" t="s">
        <v>454</v>
      </c>
      <c r="L8" s="13" t="s">
        <v>455</v>
      </c>
      <c r="M8" s="13" t="s">
        <v>456</v>
      </c>
      <c r="N8" s="13" t="s">
        <v>457</v>
      </c>
      <c r="O8" s="13" t="s">
        <v>458</v>
      </c>
      <c r="P8" s="13" t="s">
        <v>459</v>
      </c>
      <c r="Q8" s="13" t="s">
        <v>460</v>
      </c>
      <c r="R8" s="19" t="n">
        <v>0.4</v>
      </c>
      <c r="S8" s="13" t="s">
        <v>413</v>
      </c>
      <c r="T8" s="10" t="n">
        <f aca="false">COUNTIFS(Quests!$B$2:$B$3000,A8,Quests!$L$2:$L$3000,B8)</f>
        <v>2</v>
      </c>
      <c r="U8" s="14"/>
    </row>
    <row r="9" customFormat="false" ht="34.5" hidden="false" customHeight="true" outlineLevel="0" collapsed="false">
      <c r="A9" s="9" t="s">
        <v>87</v>
      </c>
      <c r="B9" s="9" t="n">
        <v>3</v>
      </c>
      <c r="C9" s="9" t="s">
        <v>461</v>
      </c>
      <c r="D9" s="9" t="s">
        <v>462</v>
      </c>
      <c r="E9" s="17" t="n">
        <v>1000</v>
      </c>
      <c r="F9" s="9" t="s">
        <v>463</v>
      </c>
      <c r="G9" s="17" t="n">
        <v>0</v>
      </c>
      <c r="H9" s="18" t="n">
        <f aca="false">IFERROR(G9/E9,0)</f>
        <v>0</v>
      </c>
      <c r="I9" s="9" t="s">
        <v>417</v>
      </c>
      <c r="J9" s="9" t="s">
        <v>464</v>
      </c>
      <c r="K9" s="13" t="s">
        <v>465</v>
      </c>
      <c r="L9" s="13" t="s">
        <v>466</v>
      </c>
      <c r="M9" s="13" t="s">
        <v>467</v>
      </c>
      <c r="N9" s="13" t="s">
        <v>468</v>
      </c>
      <c r="O9" s="13" t="s">
        <v>469</v>
      </c>
      <c r="P9" s="13" t="s">
        <v>470</v>
      </c>
      <c r="Q9" s="13" t="s">
        <v>471</v>
      </c>
      <c r="R9" s="19" t="n">
        <v>0.3</v>
      </c>
      <c r="S9" s="13" t="s">
        <v>472</v>
      </c>
      <c r="T9" s="10" t="n">
        <f aca="false">COUNTIFS(Quests!$B$2:$B$3000,A9,Quests!$L$2:$L$3000,B9)</f>
        <v>2</v>
      </c>
      <c r="U9" s="14"/>
    </row>
    <row r="10" customFormat="false" ht="34.5" hidden="false" customHeight="true" outlineLevel="0" collapsed="false">
      <c r="A10" s="9" t="s">
        <v>87</v>
      </c>
      <c r="B10" s="9" t="n">
        <v>4</v>
      </c>
      <c r="C10" s="9" t="s">
        <v>473</v>
      </c>
      <c r="D10" s="9" t="s">
        <v>474</v>
      </c>
      <c r="E10" s="17" t="n">
        <v>10000</v>
      </c>
      <c r="F10" s="9" t="s">
        <v>475</v>
      </c>
      <c r="G10" s="17" t="n">
        <v>0</v>
      </c>
      <c r="H10" s="18" t="n">
        <f aca="false">IFERROR(G10/E10,0)</f>
        <v>0</v>
      </c>
      <c r="I10" s="9" t="s">
        <v>417</v>
      </c>
      <c r="J10" s="9" t="s">
        <v>476</v>
      </c>
      <c r="K10" s="13" t="s">
        <v>477</v>
      </c>
      <c r="L10" s="13" t="s">
        <v>478</v>
      </c>
      <c r="M10" s="13" t="s">
        <v>479</v>
      </c>
      <c r="N10" s="13" t="s">
        <v>480</v>
      </c>
      <c r="O10" s="13" t="s">
        <v>481</v>
      </c>
      <c r="P10" s="13" t="s">
        <v>482</v>
      </c>
      <c r="Q10" s="13" t="s">
        <v>483</v>
      </c>
      <c r="R10" s="19" t="n">
        <v>0.15</v>
      </c>
      <c r="S10" s="13" t="s">
        <v>388</v>
      </c>
      <c r="T10" s="10" t="n">
        <f aca="false">COUNTIFS(Quests!$B$2:$B$3000,A10,Quests!$L$2:$L$3000,B10)</f>
        <v>2</v>
      </c>
      <c r="U10" s="14"/>
    </row>
    <row r="11" customFormat="false" ht="68.25" hidden="false" customHeight="true" outlineLevel="0" collapsed="false">
      <c r="A11" s="9" t="s">
        <v>104</v>
      </c>
      <c r="B11" s="9" t="n">
        <v>1</v>
      </c>
      <c r="C11" s="9" t="s">
        <v>484</v>
      </c>
      <c r="D11" s="9" t="s">
        <v>485</v>
      </c>
      <c r="E11" s="17" t="n">
        <v>22</v>
      </c>
      <c r="F11" s="9" t="s">
        <v>452</v>
      </c>
      <c r="G11" s="17" t="n">
        <v>9</v>
      </c>
      <c r="H11" s="18" t="n">
        <f aca="false">IFERROR(G11/E11,0)</f>
        <v>0.409090909090909</v>
      </c>
      <c r="I11" s="9" t="s">
        <v>404</v>
      </c>
      <c r="J11" s="9" t="s">
        <v>486</v>
      </c>
      <c r="K11" s="13" t="s">
        <v>487</v>
      </c>
      <c r="L11" s="13" t="s">
        <v>488</v>
      </c>
      <c r="M11" s="13" t="s">
        <v>489</v>
      </c>
      <c r="N11" s="13" t="s">
        <v>490</v>
      </c>
      <c r="O11" s="13" t="s">
        <v>491</v>
      </c>
      <c r="P11" s="13" t="s">
        <v>492</v>
      </c>
      <c r="Q11" s="13" t="s">
        <v>493</v>
      </c>
      <c r="R11" s="19" t="n">
        <v>0.3</v>
      </c>
      <c r="S11" s="13" t="s">
        <v>494</v>
      </c>
      <c r="T11" s="10" t="n">
        <f aca="false">COUNTIFS(Quests!$B$2:$B$3000,A11,Quests!$L$2:$L$3000,B11)</f>
        <v>12</v>
      </c>
      <c r="U11" s="14"/>
    </row>
    <row r="12" customFormat="false" ht="57" hidden="false" customHeight="true" outlineLevel="0" collapsed="false">
      <c r="A12" s="9" t="s">
        <v>104</v>
      </c>
      <c r="B12" s="9" t="n">
        <v>2</v>
      </c>
      <c r="C12" s="9" t="s">
        <v>495</v>
      </c>
      <c r="D12" s="9" t="s">
        <v>496</v>
      </c>
      <c r="E12" s="17" t="n">
        <v>1</v>
      </c>
      <c r="F12" s="9" t="s">
        <v>497</v>
      </c>
      <c r="G12" s="17" t="n">
        <v>0</v>
      </c>
      <c r="H12" s="18" t="n">
        <f aca="false">IFERROR(G12/E12,0)</f>
        <v>0</v>
      </c>
      <c r="I12" s="9" t="s">
        <v>417</v>
      </c>
      <c r="J12" s="9" t="s">
        <v>498</v>
      </c>
      <c r="K12" s="13" t="s">
        <v>499</v>
      </c>
      <c r="L12" s="13" t="s">
        <v>500</v>
      </c>
      <c r="M12" s="13" t="s">
        <v>501</v>
      </c>
      <c r="N12" s="13" t="s">
        <v>502</v>
      </c>
      <c r="O12" s="13" t="s">
        <v>503</v>
      </c>
      <c r="P12" s="13" t="s">
        <v>504</v>
      </c>
      <c r="Q12" s="13" t="s">
        <v>505</v>
      </c>
      <c r="R12" s="19" t="n">
        <v>0.45</v>
      </c>
      <c r="S12" s="13" t="s">
        <v>506</v>
      </c>
      <c r="T12" s="10" t="n">
        <f aca="false">COUNTIFS(Quests!$B$2:$B$3000,A12,Quests!$L$2:$L$3000,B12)</f>
        <v>2</v>
      </c>
      <c r="U12" s="14"/>
    </row>
    <row r="13" customFormat="false" ht="68.25" hidden="false" customHeight="true" outlineLevel="0" collapsed="false">
      <c r="A13" s="9" t="s">
        <v>104</v>
      </c>
      <c r="B13" s="9" t="n">
        <v>3</v>
      </c>
      <c r="C13" s="9" t="s">
        <v>507</v>
      </c>
      <c r="D13" s="9" t="s">
        <v>508</v>
      </c>
      <c r="E13" s="17" t="n">
        <v>15</v>
      </c>
      <c r="F13" s="9" t="s">
        <v>452</v>
      </c>
      <c r="G13" s="17" t="n">
        <v>0</v>
      </c>
      <c r="H13" s="18" t="n">
        <f aca="false">IFERROR(G13/E13,0)</f>
        <v>0</v>
      </c>
      <c r="I13" s="9" t="s">
        <v>417</v>
      </c>
      <c r="J13" s="9" t="s">
        <v>509</v>
      </c>
      <c r="K13" s="13" t="s">
        <v>510</v>
      </c>
      <c r="L13" s="13" t="s">
        <v>511</v>
      </c>
      <c r="M13" s="13" t="s">
        <v>512</v>
      </c>
      <c r="N13" s="13" t="s">
        <v>513</v>
      </c>
      <c r="O13" s="13" t="s">
        <v>514</v>
      </c>
      <c r="P13" s="13" t="s">
        <v>515</v>
      </c>
      <c r="Q13" s="13" t="s">
        <v>516</v>
      </c>
      <c r="R13" s="19" t="n">
        <v>0.17</v>
      </c>
      <c r="S13" s="13" t="s">
        <v>400</v>
      </c>
      <c r="T13" s="10" t="n">
        <f aca="false">COUNTIFS(Quests!$B$2:$B$3000,A13,Quests!$L$2:$L$3000,B13)</f>
        <v>1</v>
      </c>
      <c r="U13" s="14"/>
    </row>
    <row r="14" customFormat="false" ht="45.75" hidden="false" customHeight="true" outlineLevel="0" collapsed="false">
      <c r="A14" s="9" t="s">
        <v>104</v>
      </c>
      <c r="B14" s="9" t="n">
        <v>4</v>
      </c>
      <c r="C14" s="9" t="s">
        <v>517</v>
      </c>
      <c r="D14" s="9" t="s">
        <v>518</v>
      </c>
      <c r="E14" s="17" t="n">
        <v>1</v>
      </c>
      <c r="F14" s="9" t="s">
        <v>519</v>
      </c>
      <c r="G14" s="17" t="n">
        <v>0</v>
      </c>
      <c r="H14" s="18" t="n">
        <f aca="false">IFERROR(G14/E14,0)</f>
        <v>0</v>
      </c>
      <c r="I14" s="9" t="s">
        <v>417</v>
      </c>
      <c r="J14" s="9" t="s">
        <v>520</v>
      </c>
      <c r="K14" s="13" t="s">
        <v>521</v>
      </c>
      <c r="L14" s="13" t="s">
        <v>522</v>
      </c>
      <c r="M14" s="13" t="s">
        <v>523</v>
      </c>
      <c r="N14" s="13" t="s">
        <v>524</v>
      </c>
      <c r="O14" s="13" t="s">
        <v>525</v>
      </c>
      <c r="P14" s="13" t="s">
        <v>526</v>
      </c>
      <c r="Q14" s="13" t="s">
        <v>527</v>
      </c>
      <c r="R14" s="19" t="n">
        <v>0.08</v>
      </c>
      <c r="S14" s="13" t="s">
        <v>528</v>
      </c>
      <c r="T14" s="10" t="n">
        <f aca="false">COUNTIFS(Quests!$B$2:$B$3000,A14,Quests!$L$2:$L$3000,B14)</f>
        <v>1</v>
      </c>
      <c r="U14" s="14"/>
    </row>
    <row r="15" customFormat="false" ht="45.75" hidden="false" customHeight="true" outlineLevel="0" collapsed="false">
      <c r="A15" s="9" t="s">
        <v>124</v>
      </c>
      <c r="B15" s="9" t="n">
        <v>1</v>
      </c>
      <c r="C15" s="9" t="s">
        <v>529</v>
      </c>
      <c r="D15" s="9" t="s">
        <v>530</v>
      </c>
      <c r="E15" s="17" t="n">
        <v>1</v>
      </c>
      <c r="F15" s="9" t="s">
        <v>531</v>
      </c>
      <c r="G15" s="17" t="n">
        <v>1</v>
      </c>
      <c r="H15" s="18" t="n">
        <f aca="false">IFERROR(G15/E15,0)</f>
        <v>1</v>
      </c>
      <c r="I15" s="9" t="s">
        <v>379</v>
      </c>
      <c r="J15" s="9" t="s">
        <v>532</v>
      </c>
      <c r="K15" s="13" t="s">
        <v>533</v>
      </c>
      <c r="L15" s="13" t="s">
        <v>534</v>
      </c>
      <c r="M15" s="13" t="s">
        <v>535</v>
      </c>
      <c r="N15" s="13" t="s">
        <v>536</v>
      </c>
      <c r="O15" s="13" t="s">
        <v>537</v>
      </c>
      <c r="P15" s="13" t="s">
        <v>538</v>
      </c>
      <c r="Q15" s="13" t="s">
        <v>539</v>
      </c>
      <c r="R15" s="19" t="n">
        <v>0.15</v>
      </c>
      <c r="S15" s="13" t="s">
        <v>540</v>
      </c>
      <c r="T15" s="10" t="n">
        <f aca="false">COUNTIFS(Quests!$B$2:$B$3000,A15,Quests!$L$2:$L$3000,B15)</f>
        <v>2</v>
      </c>
      <c r="U15" s="14"/>
    </row>
    <row r="16" customFormat="false" ht="79.5" hidden="false" customHeight="true" outlineLevel="0" collapsed="false">
      <c r="A16" s="9" t="s">
        <v>124</v>
      </c>
      <c r="B16" s="9" t="n">
        <v>2</v>
      </c>
      <c r="C16" s="9" t="s">
        <v>541</v>
      </c>
      <c r="D16" s="9" t="s">
        <v>542</v>
      </c>
      <c r="E16" s="17" t="n">
        <v>10</v>
      </c>
      <c r="F16" s="9" t="s">
        <v>543</v>
      </c>
      <c r="G16" s="17" t="n">
        <v>6</v>
      </c>
      <c r="H16" s="18" t="n">
        <f aca="false">IFERROR(G16/E16,0)</f>
        <v>0.6</v>
      </c>
      <c r="I16" s="9" t="s">
        <v>404</v>
      </c>
      <c r="J16" s="9" t="s">
        <v>544</v>
      </c>
      <c r="K16" s="13" t="s">
        <v>545</v>
      </c>
      <c r="L16" s="13" t="s">
        <v>546</v>
      </c>
      <c r="M16" s="13" t="s">
        <v>547</v>
      </c>
      <c r="N16" s="13" t="s">
        <v>548</v>
      </c>
      <c r="O16" s="13" t="s">
        <v>549</v>
      </c>
      <c r="P16" s="13" t="s">
        <v>550</v>
      </c>
      <c r="Q16" s="13" t="s">
        <v>551</v>
      </c>
      <c r="R16" s="19" t="n">
        <v>0.35</v>
      </c>
      <c r="S16" s="13" t="s">
        <v>552</v>
      </c>
      <c r="T16" s="10" t="n">
        <f aca="false">COUNTIFS(Quests!$B$2:$B$3000,A16,Quests!$L$2:$L$3000,B16)</f>
        <v>11</v>
      </c>
      <c r="U16" s="14"/>
    </row>
    <row r="17" customFormat="false" ht="45.75" hidden="false" customHeight="true" outlineLevel="0" collapsed="false">
      <c r="A17" s="9" t="s">
        <v>124</v>
      </c>
      <c r="B17" s="9" t="n">
        <v>3</v>
      </c>
      <c r="C17" s="9" t="s">
        <v>553</v>
      </c>
      <c r="D17" s="9" t="s">
        <v>554</v>
      </c>
      <c r="E17" s="17" t="n">
        <v>90</v>
      </c>
      <c r="F17" s="9" t="s">
        <v>555</v>
      </c>
      <c r="G17" s="17" t="n">
        <v>0</v>
      </c>
      <c r="H17" s="18" t="n">
        <f aca="false">IFERROR(G17/E17,0)</f>
        <v>0</v>
      </c>
      <c r="I17" s="9" t="s">
        <v>417</v>
      </c>
      <c r="J17" s="9" t="s">
        <v>556</v>
      </c>
      <c r="K17" s="13" t="s">
        <v>557</v>
      </c>
      <c r="L17" s="13" t="s">
        <v>558</v>
      </c>
      <c r="M17" s="13" t="s">
        <v>559</v>
      </c>
      <c r="N17" s="13" t="s">
        <v>560</v>
      </c>
      <c r="O17" s="13" t="s">
        <v>561</v>
      </c>
      <c r="P17" s="13" t="s">
        <v>562</v>
      </c>
      <c r="Q17" s="13" t="s">
        <v>563</v>
      </c>
      <c r="R17" s="19" t="n">
        <v>0.25</v>
      </c>
      <c r="S17" s="13" t="s">
        <v>400</v>
      </c>
      <c r="T17" s="10" t="n">
        <f aca="false">COUNTIFS(Quests!$B$2:$B$3000,A17,Quests!$L$2:$L$3000,B17)</f>
        <v>2</v>
      </c>
      <c r="U17" s="14"/>
    </row>
    <row r="18" customFormat="false" ht="57" hidden="false" customHeight="true" outlineLevel="0" collapsed="false">
      <c r="A18" s="9" t="s">
        <v>124</v>
      </c>
      <c r="B18" s="9" t="n">
        <v>4</v>
      </c>
      <c r="C18" s="9" t="s">
        <v>564</v>
      </c>
      <c r="D18" s="9" t="s">
        <v>565</v>
      </c>
      <c r="E18" s="17" t="n">
        <v>1000</v>
      </c>
      <c r="F18" s="9" t="s">
        <v>566</v>
      </c>
      <c r="G18" s="17" t="n">
        <v>0</v>
      </c>
      <c r="H18" s="18" t="n">
        <f aca="false">IFERROR(G18/E18,0)</f>
        <v>0</v>
      </c>
      <c r="I18" s="9" t="s">
        <v>417</v>
      </c>
      <c r="J18" s="9" t="s">
        <v>567</v>
      </c>
      <c r="K18" s="13" t="s">
        <v>568</v>
      </c>
      <c r="L18" s="13" t="s">
        <v>569</v>
      </c>
      <c r="M18" s="13" t="s">
        <v>570</v>
      </c>
      <c r="N18" s="13" t="s">
        <v>571</v>
      </c>
      <c r="O18" s="13" t="s">
        <v>572</v>
      </c>
      <c r="P18" s="13" t="s">
        <v>573</v>
      </c>
      <c r="Q18" s="13" t="s">
        <v>574</v>
      </c>
      <c r="R18" s="19" t="n">
        <v>0.25</v>
      </c>
      <c r="S18" s="13" t="s">
        <v>400</v>
      </c>
      <c r="T18" s="10" t="n">
        <f aca="false">COUNTIFS(Quests!$B$2:$B$3000,A18,Quests!$L$2:$L$3000,B18)</f>
        <v>1</v>
      </c>
      <c r="U18" s="14"/>
    </row>
    <row r="19" customFormat="false" ht="34.5" hidden="false" customHeight="true" outlineLevel="0" collapsed="false">
      <c r="A19" s="9" t="s">
        <v>139</v>
      </c>
      <c r="B19" s="9" t="n">
        <v>1</v>
      </c>
      <c r="C19" s="9" t="s">
        <v>575</v>
      </c>
      <c r="D19" s="9" t="s">
        <v>576</v>
      </c>
      <c r="E19" s="17" t="n">
        <v>1000</v>
      </c>
      <c r="F19" s="9" t="s">
        <v>577</v>
      </c>
      <c r="G19" s="17" t="n">
        <v>1000</v>
      </c>
      <c r="H19" s="18" t="n">
        <f aca="false">IFERROR(G19/E19,0)</f>
        <v>1</v>
      </c>
      <c r="I19" s="9" t="s">
        <v>379</v>
      </c>
      <c r="J19" s="9" t="s">
        <v>578</v>
      </c>
      <c r="K19" s="13" t="s">
        <v>579</v>
      </c>
      <c r="L19" s="13" t="s">
        <v>580</v>
      </c>
      <c r="M19" s="13" t="s">
        <v>581</v>
      </c>
      <c r="N19" s="13" t="s">
        <v>582</v>
      </c>
      <c r="O19" s="13" t="s">
        <v>385</v>
      </c>
      <c r="P19" s="13" t="s">
        <v>583</v>
      </c>
      <c r="Q19" s="13" t="s">
        <v>584</v>
      </c>
      <c r="R19" s="19" t="n">
        <v>0.1</v>
      </c>
      <c r="S19" s="13" t="s">
        <v>400</v>
      </c>
      <c r="T19" s="10" t="n">
        <f aca="false">COUNTIFS(Quests!$B$2:$B$3000,A19,Quests!$L$2:$L$3000,B19)</f>
        <v>2</v>
      </c>
      <c r="U19" s="14"/>
    </row>
    <row r="20" customFormat="false" ht="57" hidden="false" customHeight="true" outlineLevel="0" collapsed="false">
      <c r="A20" s="9" t="s">
        <v>139</v>
      </c>
      <c r="B20" s="9" t="n">
        <v>2</v>
      </c>
      <c r="C20" s="9" t="s">
        <v>585</v>
      </c>
      <c r="D20" s="9" t="s">
        <v>586</v>
      </c>
      <c r="E20" s="17" t="n">
        <v>200</v>
      </c>
      <c r="F20" s="9" t="s">
        <v>587</v>
      </c>
      <c r="G20" s="17" t="n">
        <v>74</v>
      </c>
      <c r="H20" s="18" t="n">
        <f aca="false">IFERROR(G20/E20,0)</f>
        <v>0.37</v>
      </c>
      <c r="I20" s="9" t="s">
        <v>404</v>
      </c>
      <c r="J20" s="9" t="s">
        <v>588</v>
      </c>
      <c r="K20" s="13" t="s">
        <v>589</v>
      </c>
      <c r="L20" s="13" t="s">
        <v>590</v>
      </c>
      <c r="M20" s="13" t="s">
        <v>591</v>
      </c>
      <c r="N20" s="13" t="s">
        <v>592</v>
      </c>
      <c r="O20" s="13" t="s">
        <v>593</v>
      </c>
      <c r="P20" s="13" t="s">
        <v>594</v>
      </c>
      <c r="Q20" s="13" t="s">
        <v>595</v>
      </c>
      <c r="R20" s="19" t="n">
        <v>0.45</v>
      </c>
      <c r="S20" s="13" t="s">
        <v>596</v>
      </c>
      <c r="T20" s="10" t="n">
        <f aca="false">COUNTIFS(Quests!$B$2:$B$3000,A20,Quests!$L$2:$L$3000,B20)</f>
        <v>10</v>
      </c>
      <c r="U20" s="14"/>
    </row>
    <row r="21" customFormat="false" ht="34.5" hidden="false" customHeight="true" outlineLevel="0" collapsed="false">
      <c r="A21" s="9" t="s">
        <v>139</v>
      </c>
      <c r="B21" s="9" t="n">
        <v>3</v>
      </c>
      <c r="C21" s="9" t="s">
        <v>597</v>
      </c>
      <c r="D21" s="9" t="s">
        <v>598</v>
      </c>
      <c r="E21" s="17" t="n">
        <v>80</v>
      </c>
      <c r="F21" s="9" t="s">
        <v>599</v>
      </c>
      <c r="G21" s="17" t="n">
        <v>0</v>
      </c>
      <c r="H21" s="18" t="n">
        <f aca="false">IFERROR(G21/E21,0)</f>
        <v>0</v>
      </c>
      <c r="I21" s="9" t="s">
        <v>417</v>
      </c>
      <c r="J21" s="9" t="s">
        <v>600</v>
      </c>
      <c r="K21" s="13" t="s">
        <v>601</v>
      </c>
      <c r="L21" s="13" t="s">
        <v>602</v>
      </c>
      <c r="M21" s="13" t="s">
        <v>603</v>
      </c>
      <c r="N21" s="13" t="s">
        <v>604</v>
      </c>
      <c r="O21" s="13" t="s">
        <v>605</v>
      </c>
      <c r="P21" s="13" t="s">
        <v>606</v>
      </c>
      <c r="Q21" s="13" t="s">
        <v>607</v>
      </c>
      <c r="R21" s="19" t="n">
        <v>0.25</v>
      </c>
      <c r="S21" s="13" t="s">
        <v>472</v>
      </c>
      <c r="T21" s="10" t="n">
        <f aca="false">COUNTIFS(Quests!$B$2:$B$3000,A21,Quests!$L$2:$L$3000,B21)</f>
        <v>2</v>
      </c>
      <c r="U21" s="14"/>
    </row>
    <row r="22" customFormat="false" ht="45.75" hidden="false" customHeight="true" outlineLevel="0" collapsed="false">
      <c r="A22" s="9" t="s">
        <v>139</v>
      </c>
      <c r="B22" s="9" t="n">
        <v>4</v>
      </c>
      <c r="C22" s="9" t="s">
        <v>608</v>
      </c>
      <c r="D22" s="9" t="s">
        <v>609</v>
      </c>
      <c r="E22" s="17" t="n">
        <v>50</v>
      </c>
      <c r="F22" s="9" t="s">
        <v>610</v>
      </c>
      <c r="G22" s="17" t="n">
        <v>0</v>
      </c>
      <c r="H22" s="18" t="n">
        <f aca="false">IFERROR(G22/E22,0)</f>
        <v>0</v>
      </c>
      <c r="I22" s="9" t="s">
        <v>417</v>
      </c>
      <c r="J22" s="9" t="s">
        <v>611</v>
      </c>
      <c r="K22" s="13" t="s">
        <v>612</v>
      </c>
      <c r="L22" s="13" t="s">
        <v>613</v>
      </c>
      <c r="M22" s="13" t="s">
        <v>614</v>
      </c>
      <c r="N22" s="13" t="s">
        <v>615</v>
      </c>
      <c r="O22" s="13" t="s">
        <v>616</v>
      </c>
      <c r="P22" s="13" t="s">
        <v>617</v>
      </c>
      <c r="Q22" s="13" t="s">
        <v>618</v>
      </c>
      <c r="R22" s="19" t="n">
        <v>0.2</v>
      </c>
      <c r="S22" s="13" t="s">
        <v>619</v>
      </c>
      <c r="T22" s="10" t="n">
        <f aca="false">COUNTIFS(Quests!$B$2:$B$3000,A22,Quests!$L$2:$L$3000,B22)</f>
        <v>1</v>
      </c>
      <c r="U22" s="14"/>
    </row>
    <row r="23" customFormat="false" ht="45.75" hidden="false" customHeight="true" outlineLevel="0" collapsed="false">
      <c r="A23" s="9" t="s">
        <v>157</v>
      </c>
      <c r="B23" s="9" t="n">
        <v>1</v>
      </c>
      <c r="C23" s="9" t="s">
        <v>620</v>
      </c>
      <c r="D23" s="9" t="s">
        <v>621</v>
      </c>
      <c r="E23" s="17" t="n">
        <v>1</v>
      </c>
      <c r="F23" s="9" t="s">
        <v>622</v>
      </c>
      <c r="G23" s="17" t="n">
        <v>0</v>
      </c>
      <c r="H23" s="18" t="n">
        <f aca="false">IFERROR(G23/E23,0)</f>
        <v>0</v>
      </c>
      <c r="I23" s="9" t="s">
        <v>417</v>
      </c>
      <c r="J23" s="9" t="s">
        <v>623</v>
      </c>
      <c r="K23" s="13" t="s">
        <v>624</v>
      </c>
      <c r="L23" s="13" t="s">
        <v>625</v>
      </c>
      <c r="M23" s="13" t="s">
        <v>626</v>
      </c>
      <c r="N23" s="13" t="s">
        <v>627</v>
      </c>
      <c r="O23" s="13" t="s">
        <v>385</v>
      </c>
      <c r="P23" s="13" t="s">
        <v>628</v>
      </c>
      <c r="Q23" s="13" t="s">
        <v>629</v>
      </c>
      <c r="R23" s="19" t="n">
        <v>0.15</v>
      </c>
      <c r="S23" s="13" t="s">
        <v>400</v>
      </c>
      <c r="T23" s="10" t="n">
        <f aca="false">COUNTIFS(Quests!$B$2:$B$3000,A23,Quests!$L$2:$L$3000,B23)</f>
        <v>11</v>
      </c>
      <c r="U23" s="14"/>
    </row>
    <row r="24" customFormat="false" ht="34.5" hidden="false" customHeight="true" outlineLevel="0" collapsed="false">
      <c r="A24" s="9" t="s">
        <v>157</v>
      </c>
      <c r="B24" s="9" t="n">
        <v>2</v>
      </c>
      <c r="C24" s="9" t="s">
        <v>630</v>
      </c>
      <c r="D24" s="9" t="s">
        <v>631</v>
      </c>
      <c r="E24" s="17" t="n">
        <v>1000</v>
      </c>
      <c r="F24" s="9" t="s">
        <v>577</v>
      </c>
      <c r="G24" s="17" t="n">
        <v>0</v>
      </c>
      <c r="H24" s="18" t="n">
        <f aca="false">IFERROR(G24/E24,0)</f>
        <v>0</v>
      </c>
      <c r="I24" s="9" t="s">
        <v>417</v>
      </c>
      <c r="J24" s="9" t="s">
        <v>632</v>
      </c>
      <c r="K24" s="13" t="s">
        <v>633</v>
      </c>
      <c r="L24" s="13" t="s">
        <v>634</v>
      </c>
      <c r="M24" s="13" t="s">
        <v>635</v>
      </c>
      <c r="N24" s="13" t="s">
        <v>636</v>
      </c>
      <c r="O24" s="13" t="s">
        <v>637</v>
      </c>
      <c r="P24" s="13" t="s">
        <v>638</v>
      </c>
      <c r="Q24" s="13" t="s">
        <v>639</v>
      </c>
      <c r="R24" s="19" t="n">
        <v>0.4</v>
      </c>
      <c r="S24" s="13" t="s">
        <v>640</v>
      </c>
      <c r="T24" s="10" t="n">
        <f aca="false">COUNTIFS(Quests!$B$2:$B$3000,A24,Quests!$L$2:$L$3000,B24)</f>
        <v>2</v>
      </c>
      <c r="U24" s="14"/>
    </row>
    <row r="25" customFormat="false" ht="34.5" hidden="false" customHeight="true" outlineLevel="0" collapsed="false">
      <c r="A25" s="9" t="s">
        <v>157</v>
      </c>
      <c r="B25" s="9" t="n">
        <v>3</v>
      </c>
      <c r="C25" s="9" t="s">
        <v>641</v>
      </c>
      <c r="D25" s="9" t="s">
        <v>642</v>
      </c>
      <c r="E25" s="17" t="n">
        <v>1</v>
      </c>
      <c r="F25" s="9" t="s">
        <v>519</v>
      </c>
      <c r="G25" s="17" t="n">
        <v>0</v>
      </c>
      <c r="H25" s="18" t="n">
        <f aca="false">IFERROR(G25/E25,0)</f>
        <v>0</v>
      </c>
      <c r="I25" s="9" t="s">
        <v>417</v>
      </c>
      <c r="J25" s="9" t="s">
        <v>643</v>
      </c>
      <c r="K25" s="13" t="s">
        <v>644</v>
      </c>
      <c r="L25" s="13" t="s">
        <v>645</v>
      </c>
      <c r="M25" s="13" t="s">
        <v>646</v>
      </c>
      <c r="N25" s="13" t="s">
        <v>647</v>
      </c>
      <c r="O25" s="13" t="s">
        <v>385</v>
      </c>
      <c r="P25" s="13" t="s">
        <v>648</v>
      </c>
      <c r="Q25" s="13" t="s">
        <v>649</v>
      </c>
      <c r="R25" s="19" t="n">
        <v>0.25</v>
      </c>
      <c r="S25" s="13" t="s">
        <v>400</v>
      </c>
      <c r="T25" s="10" t="n">
        <f aca="false">COUNTIFS(Quests!$B$2:$B$3000,A25,Quests!$L$2:$L$3000,B25)</f>
        <v>1</v>
      </c>
      <c r="U25" s="14"/>
    </row>
    <row r="26" customFormat="false" ht="45.75" hidden="false" customHeight="true" outlineLevel="0" collapsed="false">
      <c r="A26" s="9" t="s">
        <v>157</v>
      </c>
      <c r="B26" s="9" t="n">
        <v>4</v>
      </c>
      <c r="C26" s="9" t="s">
        <v>650</v>
      </c>
      <c r="D26" s="9" t="s">
        <v>651</v>
      </c>
      <c r="E26" s="17" t="n">
        <v>500</v>
      </c>
      <c r="F26" s="9" t="s">
        <v>652</v>
      </c>
      <c r="G26" s="17" t="n">
        <v>0</v>
      </c>
      <c r="H26" s="18" t="n">
        <f aca="false">IFERROR(G26/E26,0)</f>
        <v>0</v>
      </c>
      <c r="I26" s="9" t="s">
        <v>417</v>
      </c>
      <c r="J26" s="9" t="s">
        <v>653</v>
      </c>
      <c r="K26" s="13" t="s">
        <v>654</v>
      </c>
      <c r="L26" s="13" t="s">
        <v>655</v>
      </c>
      <c r="M26" s="13" t="s">
        <v>656</v>
      </c>
      <c r="N26" s="13" t="s">
        <v>657</v>
      </c>
      <c r="O26" s="13" t="s">
        <v>658</v>
      </c>
      <c r="P26" s="13" t="s">
        <v>659</v>
      </c>
      <c r="Q26" s="13" t="s">
        <v>660</v>
      </c>
      <c r="R26" s="19" t="n">
        <v>0.2</v>
      </c>
      <c r="S26" s="13" t="s">
        <v>661</v>
      </c>
      <c r="T26" s="10" t="n">
        <f aca="false">COUNTIFS(Quests!$B$2:$B$3000,A26,Quests!$L$2:$L$3000,B26)</f>
        <v>2</v>
      </c>
      <c r="U26" s="14"/>
    </row>
    <row r="27" customFormat="false" ht="45.75" hidden="false" customHeight="true" outlineLevel="0" collapsed="false">
      <c r="A27" s="9" t="s">
        <v>174</v>
      </c>
      <c r="B27" s="9" t="n">
        <v>1</v>
      </c>
      <c r="C27" s="9" t="s">
        <v>662</v>
      </c>
      <c r="D27" s="9" t="s">
        <v>663</v>
      </c>
      <c r="E27" s="17" t="n">
        <v>10</v>
      </c>
      <c r="F27" s="9" t="s">
        <v>664</v>
      </c>
      <c r="G27" s="17" t="n">
        <v>10</v>
      </c>
      <c r="H27" s="18" t="n">
        <f aca="false">IFERROR(G27/E27,0)</f>
        <v>1</v>
      </c>
      <c r="I27" s="9" t="s">
        <v>379</v>
      </c>
      <c r="J27" s="9" t="s">
        <v>665</v>
      </c>
      <c r="K27" s="13" t="s">
        <v>666</v>
      </c>
      <c r="L27" s="13" t="s">
        <v>667</v>
      </c>
      <c r="M27" s="13" t="s">
        <v>668</v>
      </c>
      <c r="N27" s="13" t="s">
        <v>669</v>
      </c>
      <c r="O27" s="13" t="s">
        <v>670</v>
      </c>
      <c r="P27" s="13" t="s">
        <v>671</v>
      </c>
      <c r="Q27" s="13" t="s">
        <v>672</v>
      </c>
      <c r="R27" s="19" t="n">
        <v>0.1</v>
      </c>
      <c r="S27" s="13" t="s">
        <v>400</v>
      </c>
      <c r="T27" s="10" t="n">
        <f aca="false">COUNTIFS(Quests!$B$2:$B$3000,A27,Quests!$L$2:$L$3000,B27)</f>
        <v>2</v>
      </c>
      <c r="U27" s="14"/>
    </row>
    <row r="28" customFormat="false" ht="45.75" hidden="false" customHeight="true" outlineLevel="0" collapsed="false">
      <c r="A28" s="9" t="s">
        <v>174</v>
      </c>
      <c r="B28" s="9" t="n">
        <v>2</v>
      </c>
      <c r="C28" s="9" t="s">
        <v>673</v>
      </c>
      <c r="D28" s="9" t="s">
        <v>674</v>
      </c>
      <c r="E28" s="17" t="n">
        <v>1</v>
      </c>
      <c r="F28" s="9" t="s">
        <v>675</v>
      </c>
      <c r="G28" s="17" t="n">
        <v>1</v>
      </c>
      <c r="H28" s="18" t="n">
        <f aca="false">IFERROR(G28/E28,0)</f>
        <v>1</v>
      </c>
      <c r="I28" s="9" t="s">
        <v>379</v>
      </c>
      <c r="J28" s="9" t="s">
        <v>676</v>
      </c>
      <c r="K28" s="13" t="s">
        <v>677</v>
      </c>
      <c r="L28" s="13" t="s">
        <v>678</v>
      </c>
      <c r="M28" s="13" t="s">
        <v>679</v>
      </c>
      <c r="N28" s="13" t="s">
        <v>680</v>
      </c>
      <c r="O28" s="13" t="s">
        <v>681</v>
      </c>
      <c r="P28" s="13" t="s">
        <v>682</v>
      </c>
      <c r="Q28" s="13" t="s">
        <v>683</v>
      </c>
      <c r="R28" s="19" t="n">
        <v>0.35</v>
      </c>
      <c r="S28" s="13" t="s">
        <v>413</v>
      </c>
      <c r="T28" s="10" t="n">
        <f aca="false">COUNTIFS(Quests!$B$2:$B$3000,A28,Quests!$L$2:$L$3000,B28)</f>
        <v>2</v>
      </c>
      <c r="U28" s="14"/>
    </row>
    <row r="29" customFormat="false" ht="45.75" hidden="false" customHeight="true" outlineLevel="0" collapsed="false">
      <c r="A29" s="9" t="s">
        <v>174</v>
      </c>
      <c r="B29" s="9" t="n">
        <v>3</v>
      </c>
      <c r="C29" s="9" t="s">
        <v>575</v>
      </c>
      <c r="D29" s="9" t="s">
        <v>684</v>
      </c>
      <c r="E29" s="17" t="n">
        <v>500</v>
      </c>
      <c r="F29" s="9" t="s">
        <v>685</v>
      </c>
      <c r="G29" s="17" t="n">
        <v>500</v>
      </c>
      <c r="H29" s="18" t="n">
        <f aca="false">IFERROR(G29/E29,0)</f>
        <v>1</v>
      </c>
      <c r="I29" s="9" t="s">
        <v>379</v>
      </c>
      <c r="J29" s="9" t="s">
        <v>686</v>
      </c>
      <c r="K29" s="13" t="s">
        <v>687</v>
      </c>
      <c r="L29" s="13" t="s">
        <v>688</v>
      </c>
      <c r="M29" s="13" t="s">
        <v>689</v>
      </c>
      <c r="N29" s="13" t="s">
        <v>690</v>
      </c>
      <c r="O29" s="13" t="s">
        <v>691</v>
      </c>
      <c r="P29" s="13" t="s">
        <v>692</v>
      </c>
      <c r="Q29" s="13" t="s">
        <v>693</v>
      </c>
      <c r="R29" s="19" t="n">
        <v>0.35</v>
      </c>
      <c r="S29" s="13" t="s">
        <v>694</v>
      </c>
      <c r="T29" s="10" t="n">
        <f aca="false">COUNTIFS(Quests!$B$2:$B$3000,A29,Quests!$L$2:$L$3000,B29)</f>
        <v>1</v>
      </c>
      <c r="U29" s="14"/>
    </row>
    <row r="30" customFormat="false" ht="45.75" hidden="false" customHeight="true" outlineLevel="0" collapsed="false">
      <c r="A30" s="9" t="s">
        <v>174</v>
      </c>
      <c r="B30" s="9" t="n">
        <v>4</v>
      </c>
      <c r="C30" s="9" t="s">
        <v>695</v>
      </c>
      <c r="D30" s="9" t="s">
        <v>696</v>
      </c>
      <c r="E30" s="17" t="n">
        <v>10</v>
      </c>
      <c r="F30" s="9" t="s">
        <v>664</v>
      </c>
      <c r="G30" s="17" t="n">
        <v>9</v>
      </c>
      <c r="H30" s="18" t="n">
        <f aca="false">IFERROR(G30/E30,0)</f>
        <v>0.9</v>
      </c>
      <c r="I30" s="9" t="s">
        <v>404</v>
      </c>
      <c r="J30" s="9" t="s">
        <v>697</v>
      </c>
      <c r="K30" s="13" t="s">
        <v>698</v>
      </c>
      <c r="L30" s="13" t="s">
        <v>699</v>
      </c>
      <c r="M30" s="13" t="s">
        <v>700</v>
      </c>
      <c r="N30" s="13" t="s">
        <v>701</v>
      </c>
      <c r="O30" s="13" t="s">
        <v>702</v>
      </c>
      <c r="P30" s="13" t="s">
        <v>703</v>
      </c>
      <c r="Q30" s="13" t="s">
        <v>704</v>
      </c>
      <c r="R30" s="19" t="n">
        <v>0.2</v>
      </c>
      <c r="S30" s="13" t="s">
        <v>388</v>
      </c>
      <c r="T30" s="10" t="n">
        <f aca="false">COUNTIFS(Quests!$B$2:$B$3000,A30,Quests!$L$2:$L$3000,B30)</f>
        <v>11</v>
      </c>
      <c r="U30" s="14"/>
    </row>
    <row r="31" customFormat="false" ht="34.5" hidden="false" customHeight="true" outlineLevel="0" collapsed="false">
      <c r="A31" s="9" t="s">
        <v>193</v>
      </c>
      <c r="B31" s="9" t="n">
        <v>1</v>
      </c>
      <c r="C31" s="9" t="s">
        <v>705</v>
      </c>
      <c r="D31" s="9" t="s">
        <v>706</v>
      </c>
      <c r="E31" s="17" t="n">
        <v>50</v>
      </c>
      <c r="F31" s="9" t="s">
        <v>707</v>
      </c>
      <c r="G31" s="17" t="n">
        <v>50</v>
      </c>
      <c r="H31" s="18" t="n">
        <f aca="false">IFERROR(G31/E31,0)</f>
        <v>1</v>
      </c>
      <c r="I31" s="9" t="s">
        <v>379</v>
      </c>
      <c r="J31" s="9" t="s">
        <v>708</v>
      </c>
      <c r="K31" s="13" t="s">
        <v>709</v>
      </c>
      <c r="L31" s="13" t="s">
        <v>710</v>
      </c>
      <c r="M31" s="13" t="s">
        <v>711</v>
      </c>
      <c r="N31" s="13" t="s">
        <v>712</v>
      </c>
      <c r="O31" s="13" t="s">
        <v>385</v>
      </c>
      <c r="P31" s="13" t="s">
        <v>386</v>
      </c>
      <c r="Q31" s="13" t="s">
        <v>713</v>
      </c>
      <c r="R31" s="19" t="n">
        <v>0.1</v>
      </c>
      <c r="S31" s="13" t="s">
        <v>714</v>
      </c>
      <c r="T31" s="10" t="n">
        <f aca="false">COUNTIFS(Quests!$B$2:$B$3000,A31,Quests!$L$2:$L$3000,B31)</f>
        <v>2</v>
      </c>
      <c r="U31" s="14"/>
    </row>
    <row r="32" customFormat="false" ht="79.5" hidden="false" customHeight="true" outlineLevel="0" collapsed="false">
      <c r="A32" s="9" t="s">
        <v>193</v>
      </c>
      <c r="B32" s="9" t="n">
        <v>2</v>
      </c>
      <c r="C32" s="9" t="s">
        <v>715</v>
      </c>
      <c r="D32" s="9" t="s">
        <v>716</v>
      </c>
      <c r="E32" s="17" t="n">
        <v>6</v>
      </c>
      <c r="F32" s="9" t="s">
        <v>452</v>
      </c>
      <c r="G32" s="17" t="n">
        <v>4</v>
      </c>
      <c r="H32" s="18" t="n">
        <f aca="false">IFERROR(G32/E32,0)</f>
        <v>0.666666666666667</v>
      </c>
      <c r="I32" s="9" t="s">
        <v>404</v>
      </c>
      <c r="J32" s="9" t="s">
        <v>717</v>
      </c>
      <c r="K32" s="13" t="s">
        <v>718</v>
      </c>
      <c r="L32" s="13" t="s">
        <v>719</v>
      </c>
      <c r="M32" s="13" t="s">
        <v>720</v>
      </c>
      <c r="N32" s="13" t="s">
        <v>721</v>
      </c>
      <c r="O32" s="13" t="s">
        <v>722</v>
      </c>
      <c r="P32" s="13" t="s">
        <v>723</v>
      </c>
      <c r="Q32" s="13" t="s">
        <v>724</v>
      </c>
      <c r="R32" s="19" t="n">
        <v>0.2</v>
      </c>
      <c r="S32" s="13" t="s">
        <v>388</v>
      </c>
      <c r="T32" s="10" t="n">
        <f aca="false">COUNTIFS(Quests!$B$2:$B$3000,A32,Quests!$L$2:$L$3000,B32)</f>
        <v>10</v>
      </c>
      <c r="U32" s="14"/>
    </row>
    <row r="33" customFormat="false" ht="57" hidden="false" customHeight="true" outlineLevel="0" collapsed="false">
      <c r="A33" s="9" t="s">
        <v>193</v>
      </c>
      <c r="B33" s="9" t="n">
        <v>3</v>
      </c>
      <c r="C33" s="9" t="s">
        <v>725</v>
      </c>
      <c r="D33" s="9" t="s">
        <v>726</v>
      </c>
      <c r="E33" s="17" t="n">
        <v>1000</v>
      </c>
      <c r="F33" s="9" t="s">
        <v>727</v>
      </c>
      <c r="G33" s="17" t="n">
        <v>0</v>
      </c>
      <c r="H33" s="18" t="n">
        <f aca="false">IFERROR(G33/E33,0)</f>
        <v>0</v>
      </c>
      <c r="I33" s="9" t="s">
        <v>417</v>
      </c>
      <c r="J33" s="9" t="s">
        <v>728</v>
      </c>
      <c r="K33" s="13" t="s">
        <v>729</v>
      </c>
      <c r="L33" s="13" t="s">
        <v>730</v>
      </c>
      <c r="M33" s="13" t="s">
        <v>731</v>
      </c>
      <c r="N33" s="13" t="s">
        <v>732</v>
      </c>
      <c r="O33" s="13" t="s">
        <v>733</v>
      </c>
      <c r="P33" s="13" t="s">
        <v>734</v>
      </c>
      <c r="Q33" s="13" t="s">
        <v>735</v>
      </c>
      <c r="R33" s="19" t="n">
        <v>0.4</v>
      </c>
      <c r="S33" s="13" t="s">
        <v>472</v>
      </c>
      <c r="T33" s="10" t="n">
        <f aca="false">COUNTIFS(Quests!$B$2:$B$3000,A33,Quests!$L$2:$L$3000,B33)</f>
        <v>2</v>
      </c>
      <c r="U33" s="14"/>
    </row>
    <row r="34" customFormat="false" ht="57" hidden="false" customHeight="true" outlineLevel="0" collapsed="false">
      <c r="A34" s="9" t="s">
        <v>193</v>
      </c>
      <c r="B34" s="9" t="n">
        <v>4</v>
      </c>
      <c r="C34" s="9" t="s">
        <v>736</v>
      </c>
      <c r="D34" s="9" t="s">
        <v>737</v>
      </c>
      <c r="E34" s="17" t="n">
        <v>750</v>
      </c>
      <c r="F34" s="9" t="s">
        <v>727</v>
      </c>
      <c r="G34" s="17" t="n">
        <v>0</v>
      </c>
      <c r="H34" s="18" t="n">
        <f aca="false">IFERROR(G34/E34,0)</f>
        <v>0</v>
      </c>
      <c r="I34" s="9" t="s">
        <v>417</v>
      </c>
      <c r="J34" s="9" t="s">
        <v>738</v>
      </c>
      <c r="K34" s="13" t="s">
        <v>739</v>
      </c>
      <c r="L34" s="13" t="s">
        <v>740</v>
      </c>
      <c r="M34" s="13" t="s">
        <v>741</v>
      </c>
      <c r="N34" s="13" t="s">
        <v>742</v>
      </c>
      <c r="O34" s="13" t="s">
        <v>385</v>
      </c>
      <c r="P34" s="13" t="s">
        <v>743</v>
      </c>
      <c r="Q34" s="13" t="s">
        <v>744</v>
      </c>
      <c r="R34" s="19" t="n">
        <v>0.3</v>
      </c>
      <c r="S34" s="13" t="s">
        <v>745</v>
      </c>
      <c r="T34" s="10" t="n">
        <f aca="false">COUNTIFS(Quests!$B$2:$B$3000,A34,Quests!$L$2:$L$3000,B34)</f>
        <v>2</v>
      </c>
      <c r="U34" s="14"/>
    </row>
    <row r="35" customFormat="false" ht="45.75" hidden="false" customHeight="true" outlineLevel="0" collapsed="false">
      <c r="A35" s="9" t="s">
        <v>210</v>
      </c>
      <c r="B35" s="9" t="n">
        <v>1</v>
      </c>
      <c r="C35" s="9" t="s">
        <v>746</v>
      </c>
      <c r="D35" s="9" t="s">
        <v>747</v>
      </c>
      <c r="E35" s="17" t="n">
        <v>310</v>
      </c>
      <c r="F35" s="9" t="s">
        <v>748</v>
      </c>
      <c r="G35" s="17" t="n">
        <v>310</v>
      </c>
      <c r="H35" s="18" t="n">
        <f aca="false">IFERROR(G35/E35,0)</f>
        <v>1</v>
      </c>
      <c r="I35" s="9" t="s">
        <v>379</v>
      </c>
      <c r="J35" s="9" t="s">
        <v>749</v>
      </c>
      <c r="K35" s="13" t="s">
        <v>750</v>
      </c>
      <c r="L35" s="13" t="s">
        <v>751</v>
      </c>
      <c r="M35" s="13" t="s">
        <v>752</v>
      </c>
      <c r="N35" s="13" t="s">
        <v>753</v>
      </c>
      <c r="O35" s="13" t="s">
        <v>385</v>
      </c>
      <c r="P35" s="13" t="s">
        <v>754</v>
      </c>
      <c r="Q35" s="13" t="s">
        <v>755</v>
      </c>
      <c r="R35" s="19" t="n">
        <v>0.1</v>
      </c>
      <c r="S35" s="13" t="s">
        <v>756</v>
      </c>
      <c r="T35" s="10" t="n">
        <f aca="false">COUNTIFS(Quests!$B$2:$B$3000,A35,Quests!$L$2:$L$3000,B35)</f>
        <v>2</v>
      </c>
      <c r="U35" s="14"/>
    </row>
    <row r="36" customFormat="false" ht="57" hidden="false" customHeight="true" outlineLevel="0" collapsed="false">
      <c r="A36" s="9" t="s">
        <v>210</v>
      </c>
      <c r="B36" s="9" t="n">
        <v>2</v>
      </c>
      <c r="C36" s="9" t="s">
        <v>757</v>
      </c>
      <c r="D36" s="9" t="s">
        <v>758</v>
      </c>
      <c r="E36" s="17" t="n">
        <v>310</v>
      </c>
      <c r="F36" s="9" t="s">
        <v>759</v>
      </c>
      <c r="G36" s="17" t="n">
        <v>140</v>
      </c>
      <c r="H36" s="18" t="n">
        <f aca="false">IFERROR(G36/E36,0)</f>
        <v>0.451612903225806</v>
      </c>
      <c r="I36" s="9" t="s">
        <v>404</v>
      </c>
      <c r="J36" s="9" t="s">
        <v>760</v>
      </c>
      <c r="K36" s="13" t="s">
        <v>761</v>
      </c>
      <c r="L36" s="13" t="s">
        <v>762</v>
      </c>
      <c r="M36" s="13" t="s">
        <v>763</v>
      </c>
      <c r="N36" s="13" t="s">
        <v>764</v>
      </c>
      <c r="O36" s="13" t="s">
        <v>765</v>
      </c>
      <c r="P36" s="13" t="s">
        <v>766</v>
      </c>
      <c r="Q36" s="13" t="s">
        <v>767</v>
      </c>
      <c r="R36" s="19" t="n">
        <v>0.35</v>
      </c>
      <c r="S36" s="13" t="s">
        <v>768</v>
      </c>
      <c r="T36" s="10" t="n">
        <f aca="false">COUNTIFS(Quests!$B$2:$B$3000,A36,Quests!$L$2:$L$3000,B36)</f>
        <v>12</v>
      </c>
      <c r="U36" s="14"/>
    </row>
    <row r="37" customFormat="false" ht="45.75" hidden="false" customHeight="true" outlineLevel="0" collapsed="false">
      <c r="A37" s="9" t="s">
        <v>210</v>
      </c>
      <c r="B37" s="9" t="n">
        <v>3</v>
      </c>
      <c r="C37" s="9" t="s">
        <v>461</v>
      </c>
      <c r="D37" s="9" t="s">
        <v>769</v>
      </c>
      <c r="E37" s="17" t="n">
        <v>310</v>
      </c>
      <c r="F37" s="9" t="s">
        <v>759</v>
      </c>
      <c r="G37" s="17" t="n">
        <v>0</v>
      </c>
      <c r="H37" s="18" t="n">
        <f aca="false">IFERROR(G37/E37,0)</f>
        <v>0</v>
      </c>
      <c r="I37" s="9" t="s">
        <v>417</v>
      </c>
      <c r="J37" s="9" t="s">
        <v>770</v>
      </c>
      <c r="K37" s="13" t="s">
        <v>771</v>
      </c>
      <c r="L37" s="13" t="s">
        <v>772</v>
      </c>
      <c r="M37" s="13" t="s">
        <v>773</v>
      </c>
      <c r="N37" s="13" t="s">
        <v>774</v>
      </c>
      <c r="O37" s="13" t="s">
        <v>775</v>
      </c>
      <c r="P37" s="13" t="s">
        <v>776</v>
      </c>
      <c r="Q37" s="13" t="s">
        <v>777</v>
      </c>
      <c r="R37" s="19" t="n">
        <v>0.25</v>
      </c>
      <c r="S37" s="13" t="s">
        <v>756</v>
      </c>
      <c r="T37" s="10" t="n">
        <f aca="false">COUNTIFS(Quests!$B$2:$B$3000,A37,Quests!$L$2:$L$3000,B37)</f>
        <v>2</v>
      </c>
      <c r="U37" s="14"/>
    </row>
    <row r="38" customFormat="false" ht="57" hidden="false" customHeight="true" outlineLevel="0" collapsed="false">
      <c r="A38" s="9" t="s">
        <v>210</v>
      </c>
      <c r="B38" s="9" t="n">
        <v>4</v>
      </c>
      <c r="C38" s="9" t="s">
        <v>778</v>
      </c>
      <c r="D38" s="9" t="s">
        <v>779</v>
      </c>
      <c r="E38" s="17" t="n">
        <v>100000</v>
      </c>
      <c r="F38" s="9" t="s">
        <v>780</v>
      </c>
      <c r="G38" s="17" t="n">
        <v>0</v>
      </c>
      <c r="H38" s="18" t="n">
        <f aca="false">IFERROR(G38/E38,0)</f>
        <v>0</v>
      </c>
      <c r="I38" s="9" t="s">
        <v>417</v>
      </c>
      <c r="J38" s="9" t="s">
        <v>781</v>
      </c>
      <c r="K38" s="13" t="s">
        <v>782</v>
      </c>
      <c r="L38" s="13" t="s">
        <v>783</v>
      </c>
      <c r="M38" s="13" t="s">
        <v>784</v>
      </c>
      <c r="N38" s="13" t="s">
        <v>785</v>
      </c>
      <c r="O38" s="13" t="s">
        <v>385</v>
      </c>
      <c r="P38" s="13" t="s">
        <v>786</v>
      </c>
      <c r="Q38" s="13" t="s">
        <v>787</v>
      </c>
      <c r="R38" s="19" t="n">
        <v>0.3</v>
      </c>
      <c r="S38" s="13" t="s">
        <v>788</v>
      </c>
      <c r="T38" s="10" t="n">
        <f aca="false">COUNTIFS(Quests!$B$2:$B$3000,A38,Quests!$L$2:$L$3000,B38)</f>
        <v>1</v>
      </c>
      <c r="U38" s="14"/>
    </row>
    <row r="39" customFormat="false" ht="45.75" hidden="false" customHeight="true" outlineLevel="0" collapsed="false">
      <c r="A39" s="9" t="s">
        <v>227</v>
      </c>
      <c r="B39" s="9" t="n">
        <v>1</v>
      </c>
      <c r="C39" s="9" t="s">
        <v>641</v>
      </c>
      <c r="D39" s="9" t="s">
        <v>789</v>
      </c>
      <c r="E39" s="17" t="n">
        <v>5000</v>
      </c>
      <c r="F39" s="9" t="s">
        <v>790</v>
      </c>
      <c r="G39" s="17" t="n">
        <v>1240</v>
      </c>
      <c r="H39" s="18" t="n">
        <f aca="false">IFERROR(G39/E39,0)</f>
        <v>0.248</v>
      </c>
      <c r="I39" s="9" t="s">
        <v>404</v>
      </c>
      <c r="J39" s="9" t="s">
        <v>791</v>
      </c>
      <c r="K39" s="13" t="s">
        <v>792</v>
      </c>
      <c r="L39" s="13" t="s">
        <v>793</v>
      </c>
      <c r="M39" s="13" t="s">
        <v>794</v>
      </c>
      <c r="N39" s="13" t="s">
        <v>795</v>
      </c>
      <c r="O39" s="13" t="s">
        <v>385</v>
      </c>
      <c r="P39" s="13" t="s">
        <v>796</v>
      </c>
      <c r="Q39" s="13" t="s">
        <v>797</v>
      </c>
      <c r="R39" s="19" t="n">
        <v>0.25</v>
      </c>
      <c r="S39" s="13" t="s">
        <v>400</v>
      </c>
      <c r="T39" s="10" t="n">
        <f aca="false">COUNTIFS(Quests!$B$2:$B$3000,A39,Quests!$L$2:$L$3000,B39)</f>
        <v>12</v>
      </c>
      <c r="U39" s="14"/>
    </row>
    <row r="40" customFormat="false" ht="34.5" hidden="false" customHeight="true" outlineLevel="0" collapsed="false">
      <c r="A40" s="9" t="s">
        <v>227</v>
      </c>
      <c r="B40" s="9" t="n">
        <v>2</v>
      </c>
      <c r="C40" s="9" t="s">
        <v>798</v>
      </c>
      <c r="D40" s="9" t="s">
        <v>799</v>
      </c>
      <c r="E40" s="17" t="n">
        <v>5000</v>
      </c>
      <c r="F40" s="9" t="s">
        <v>800</v>
      </c>
      <c r="G40" s="17" t="n">
        <v>0</v>
      </c>
      <c r="H40" s="18" t="n">
        <f aca="false">IFERROR(G40/E40,0)</f>
        <v>0</v>
      </c>
      <c r="I40" s="9" t="s">
        <v>417</v>
      </c>
      <c r="J40" s="9" t="s">
        <v>801</v>
      </c>
      <c r="K40" s="13" t="s">
        <v>802</v>
      </c>
      <c r="L40" s="13" t="s">
        <v>803</v>
      </c>
      <c r="M40" s="13" t="s">
        <v>804</v>
      </c>
      <c r="N40" s="13" t="s">
        <v>805</v>
      </c>
      <c r="O40" s="13" t="s">
        <v>385</v>
      </c>
      <c r="P40" s="13" t="s">
        <v>806</v>
      </c>
      <c r="Q40" s="13" t="s">
        <v>807</v>
      </c>
      <c r="R40" s="19" t="n">
        <v>0.2</v>
      </c>
      <c r="S40" s="13" t="s">
        <v>714</v>
      </c>
      <c r="T40" s="10" t="n">
        <f aca="false">COUNTIFS(Quests!$B$2:$B$3000,A40,Quests!$L$2:$L$3000,B40)</f>
        <v>2</v>
      </c>
      <c r="U40" s="14"/>
    </row>
    <row r="41" customFormat="false" ht="45.75" hidden="false" customHeight="true" outlineLevel="0" collapsed="false">
      <c r="A41" s="9" t="s">
        <v>227</v>
      </c>
      <c r="B41" s="9" t="n">
        <v>3</v>
      </c>
      <c r="C41" s="9" t="s">
        <v>808</v>
      </c>
      <c r="D41" s="9" t="s">
        <v>809</v>
      </c>
      <c r="E41" s="17" t="n">
        <v>5000</v>
      </c>
      <c r="F41" s="9" t="s">
        <v>800</v>
      </c>
      <c r="G41" s="17" t="n">
        <v>0</v>
      </c>
      <c r="H41" s="18" t="n">
        <f aca="false">IFERROR(G41/E41,0)</f>
        <v>0</v>
      </c>
      <c r="I41" s="9" t="s">
        <v>417</v>
      </c>
      <c r="J41" s="9" t="s">
        <v>810</v>
      </c>
      <c r="K41" s="13" t="s">
        <v>811</v>
      </c>
      <c r="L41" s="13" t="s">
        <v>812</v>
      </c>
      <c r="M41" s="13" t="s">
        <v>813</v>
      </c>
      <c r="N41" s="13" t="s">
        <v>814</v>
      </c>
      <c r="O41" s="13" t="s">
        <v>385</v>
      </c>
      <c r="P41" s="13" t="s">
        <v>815</v>
      </c>
      <c r="Q41" s="13" t="s">
        <v>816</v>
      </c>
      <c r="R41" s="19" t="n">
        <v>0.25</v>
      </c>
      <c r="S41" s="13" t="s">
        <v>817</v>
      </c>
      <c r="T41" s="10" t="n">
        <f aca="false">COUNTIFS(Quests!$B$2:$B$3000,A41,Quests!$L$2:$L$3000,B41)</f>
        <v>2</v>
      </c>
      <c r="U41" s="14"/>
    </row>
    <row r="42" customFormat="false" ht="45.75" hidden="false" customHeight="true" outlineLevel="0" collapsed="false">
      <c r="A42" s="9" t="s">
        <v>227</v>
      </c>
      <c r="B42" s="9" t="n">
        <v>4</v>
      </c>
      <c r="C42" s="9" t="s">
        <v>818</v>
      </c>
      <c r="D42" s="9" t="s">
        <v>819</v>
      </c>
      <c r="E42" s="17" t="n">
        <v>80</v>
      </c>
      <c r="F42" s="9" t="s">
        <v>820</v>
      </c>
      <c r="G42" s="17" t="n">
        <v>0</v>
      </c>
      <c r="H42" s="18" t="n">
        <f aca="false">IFERROR(G42/E42,0)</f>
        <v>0</v>
      </c>
      <c r="I42" s="9" t="s">
        <v>417</v>
      </c>
      <c r="J42" s="9" t="s">
        <v>821</v>
      </c>
      <c r="K42" s="13" t="s">
        <v>822</v>
      </c>
      <c r="L42" s="13" t="s">
        <v>823</v>
      </c>
      <c r="M42" s="13" t="s">
        <v>824</v>
      </c>
      <c r="N42" s="13" t="s">
        <v>825</v>
      </c>
      <c r="O42" s="13" t="s">
        <v>826</v>
      </c>
      <c r="P42" s="13" t="s">
        <v>827</v>
      </c>
      <c r="Q42" s="13" t="s">
        <v>828</v>
      </c>
      <c r="R42" s="19" t="n">
        <v>0.3</v>
      </c>
      <c r="S42" s="13" t="s">
        <v>413</v>
      </c>
      <c r="T42" s="10" t="n">
        <f aca="false">COUNTIFS(Quests!$B$2:$B$3000,A42,Quests!$L$2:$L$3000,B42)</f>
        <v>1</v>
      </c>
      <c r="U42" s="14"/>
    </row>
    <row r="43" customFormat="false" ht="57" hidden="false" customHeight="true" outlineLevel="0" collapsed="false">
      <c r="A43" s="9" t="s">
        <v>244</v>
      </c>
      <c r="B43" s="9" t="n">
        <v>1</v>
      </c>
      <c r="C43" s="9" t="s">
        <v>829</v>
      </c>
      <c r="D43" s="9" t="s">
        <v>830</v>
      </c>
      <c r="E43" s="17" t="n">
        <v>100</v>
      </c>
      <c r="F43" s="9" t="s">
        <v>831</v>
      </c>
      <c r="G43" s="17" t="n">
        <v>100</v>
      </c>
      <c r="H43" s="18" t="n">
        <f aca="false">IFERROR(G43/E43,0)</f>
        <v>1</v>
      </c>
      <c r="I43" s="9" t="s">
        <v>379</v>
      </c>
      <c r="J43" s="9" t="s">
        <v>832</v>
      </c>
      <c r="K43" s="13" t="s">
        <v>833</v>
      </c>
      <c r="L43" s="13" t="s">
        <v>834</v>
      </c>
      <c r="M43" s="13" t="s">
        <v>835</v>
      </c>
      <c r="N43" s="13" t="s">
        <v>836</v>
      </c>
      <c r="O43" s="13" t="s">
        <v>385</v>
      </c>
      <c r="P43" s="13" t="s">
        <v>386</v>
      </c>
      <c r="Q43" s="13" t="s">
        <v>837</v>
      </c>
      <c r="R43" s="19" t="n">
        <v>0.05</v>
      </c>
      <c r="S43" s="13" t="s">
        <v>838</v>
      </c>
      <c r="T43" s="10" t="n">
        <f aca="false">COUNTIFS(Quests!$B$2:$B$3000,A43,Quests!$L$2:$L$3000,B43)</f>
        <v>1</v>
      </c>
      <c r="U43" s="14"/>
    </row>
    <row r="44" customFormat="false" ht="68.25" hidden="false" customHeight="true" outlineLevel="0" collapsed="false">
      <c r="A44" s="9" t="s">
        <v>244</v>
      </c>
      <c r="B44" s="9" t="n">
        <v>2</v>
      </c>
      <c r="C44" s="9" t="s">
        <v>839</v>
      </c>
      <c r="D44" s="9" t="s">
        <v>840</v>
      </c>
      <c r="E44" s="17" t="n">
        <v>100</v>
      </c>
      <c r="F44" s="9" t="s">
        <v>841</v>
      </c>
      <c r="G44" s="17" t="n">
        <v>100</v>
      </c>
      <c r="H44" s="18" t="n">
        <f aca="false">IFERROR(G44/E44,0)</f>
        <v>1</v>
      </c>
      <c r="I44" s="9" t="s">
        <v>379</v>
      </c>
      <c r="J44" s="9" t="s">
        <v>842</v>
      </c>
      <c r="K44" s="13" t="s">
        <v>843</v>
      </c>
      <c r="L44" s="13" t="s">
        <v>844</v>
      </c>
      <c r="M44" s="13" t="s">
        <v>845</v>
      </c>
      <c r="N44" s="13" t="s">
        <v>846</v>
      </c>
      <c r="O44" s="13" t="s">
        <v>847</v>
      </c>
      <c r="P44" s="13" t="s">
        <v>848</v>
      </c>
      <c r="Q44" s="13" t="s">
        <v>849</v>
      </c>
      <c r="R44" s="19" t="n">
        <v>0.1</v>
      </c>
      <c r="S44" s="13" t="s">
        <v>850</v>
      </c>
      <c r="T44" s="10" t="n">
        <f aca="false">COUNTIFS(Quests!$B$2:$B$3000,A44,Quests!$L$2:$L$3000,B44)</f>
        <v>1</v>
      </c>
      <c r="U44" s="14"/>
    </row>
    <row r="45" customFormat="false" ht="79.5" hidden="false" customHeight="true" outlineLevel="0" collapsed="false">
      <c r="A45" s="9" t="s">
        <v>244</v>
      </c>
      <c r="B45" s="9" t="n">
        <v>3</v>
      </c>
      <c r="C45" s="9" t="s">
        <v>851</v>
      </c>
      <c r="D45" s="9" t="s">
        <v>852</v>
      </c>
      <c r="E45" s="17" t="n">
        <v>100</v>
      </c>
      <c r="F45" s="9" t="s">
        <v>853</v>
      </c>
      <c r="G45" s="17" t="n">
        <v>41</v>
      </c>
      <c r="H45" s="18" t="n">
        <f aca="false">IFERROR(G45/E45,0)</f>
        <v>0.41</v>
      </c>
      <c r="I45" s="9" t="s">
        <v>404</v>
      </c>
      <c r="J45" s="9" t="s">
        <v>854</v>
      </c>
      <c r="K45" s="13" t="s">
        <v>855</v>
      </c>
      <c r="L45" s="13" t="s">
        <v>856</v>
      </c>
      <c r="M45" s="13" t="s">
        <v>857</v>
      </c>
      <c r="N45" s="13" t="s">
        <v>858</v>
      </c>
      <c r="O45" s="13" t="s">
        <v>385</v>
      </c>
      <c r="P45" s="13" t="s">
        <v>859</v>
      </c>
      <c r="Q45" s="13" t="s">
        <v>860</v>
      </c>
      <c r="R45" s="19" t="n">
        <v>0.25</v>
      </c>
      <c r="S45" s="13" t="s">
        <v>861</v>
      </c>
      <c r="T45" s="10" t="n">
        <f aca="false">COUNTIFS(Quests!$B$2:$B$3000,A45,Quests!$L$2:$L$3000,B45)</f>
        <v>11</v>
      </c>
      <c r="U45" s="14"/>
    </row>
    <row r="46" customFormat="false" ht="57" hidden="false" customHeight="true" outlineLevel="0" collapsed="false">
      <c r="A46" s="9" t="s">
        <v>244</v>
      </c>
      <c r="B46" s="9" t="n">
        <v>4</v>
      </c>
      <c r="C46" s="9" t="s">
        <v>862</v>
      </c>
      <c r="D46" s="9" t="s">
        <v>863</v>
      </c>
      <c r="E46" s="17" t="n">
        <v>100</v>
      </c>
      <c r="F46" s="9" t="s">
        <v>864</v>
      </c>
      <c r="G46" s="17" t="n">
        <v>0</v>
      </c>
      <c r="H46" s="18" t="n">
        <f aca="false">IFERROR(G46/E46,0)</f>
        <v>0</v>
      </c>
      <c r="I46" s="9" t="s">
        <v>417</v>
      </c>
      <c r="J46" s="9" t="s">
        <v>865</v>
      </c>
      <c r="K46" s="13" t="s">
        <v>866</v>
      </c>
      <c r="L46" s="13" t="s">
        <v>867</v>
      </c>
      <c r="M46" s="13" t="s">
        <v>868</v>
      </c>
      <c r="N46" s="13" t="s">
        <v>869</v>
      </c>
      <c r="O46" s="13" t="s">
        <v>870</v>
      </c>
      <c r="P46" s="13" t="s">
        <v>871</v>
      </c>
      <c r="Q46" s="13" t="s">
        <v>872</v>
      </c>
      <c r="R46" s="19" t="n">
        <v>0.4</v>
      </c>
      <c r="S46" s="13" t="s">
        <v>400</v>
      </c>
      <c r="T46" s="10" t="n">
        <f aca="false">COUNTIFS(Quests!$B$2:$B$3000,A46,Quests!$L$2:$L$3000,B46)</f>
        <v>2</v>
      </c>
      <c r="U46" s="14"/>
    </row>
    <row r="47" customFormat="false" ht="57" hidden="false" customHeight="true" outlineLevel="0" collapsed="false">
      <c r="A47" s="9" t="s">
        <v>244</v>
      </c>
      <c r="B47" s="9" t="n">
        <v>5</v>
      </c>
      <c r="C47" s="9" t="s">
        <v>873</v>
      </c>
      <c r="D47" s="9" t="s">
        <v>874</v>
      </c>
      <c r="E47" s="17" t="n">
        <v>100</v>
      </c>
      <c r="F47" s="9" t="s">
        <v>875</v>
      </c>
      <c r="G47" s="17" t="n">
        <v>0</v>
      </c>
      <c r="H47" s="18" t="n">
        <f aca="false">IFERROR(G47/E47,0)</f>
        <v>0</v>
      </c>
      <c r="I47" s="9" t="s">
        <v>417</v>
      </c>
      <c r="J47" s="9" t="s">
        <v>876</v>
      </c>
      <c r="K47" s="13" t="s">
        <v>877</v>
      </c>
      <c r="L47" s="13" t="s">
        <v>878</v>
      </c>
      <c r="M47" s="13" t="s">
        <v>879</v>
      </c>
      <c r="N47" s="13" t="s">
        <v>880</v>
      </c>
      <c r="O47" s="13" t="s">
        <v>881</v>
      </c>
      <c r="P47" s="13" t="s">
        <v>882</v>
      </c>
      <c r="Q47" s="13" t="s">
        <v>883</v>
      </c>
      <c r="R47" s="19" t="n">
        <v>0.2</v>
      </c>
      <c r="S47" s="13" t="s">
        <v>388</v>
      </c>
      <c r="T47" s="10" t="n">
        <f aca="false">COUNTIFS(Quests!$B$2:$B$3000,A47,Quests!$L$2:$L$3000,B47)</f>
        <v>2</v>
      </c>
      <c r="U47" s="14"/>
    </row>
    <row r="48" customFormat="false" ht="45.75" hidden="false" customHeight="true" outlineLevel="0" collapsed="false">
      <c r="A48" s="9" t="s">
        <v>260</v>
      </c>
      <c r="B48" s="9" t="n">
        <v>1</v>
      </c>
      <c r="C48" s="9" t="s">
        <v>884</v>
      </c>
      <c r="D48" s="9" t="s">
        <v>885</v>
      </c>
      <c r="E48" s="17" t="n">
        <v>20</v>
      </c>
      <c r="F48" s="9" t="s">
        <v>886</v>
      </c>
      <c r="G48" s="17" t="n">
        <v>0</v>
      </c>
      <c r="H48" s="18" t="n">
        <f aca="false">IFERROR(G48/E48,0)</f>
        <v>0</v>
      </c>
      <c r="I48" s="9" t="s">
        <v>404</v>
      </c>
      <c r="J48" s="9" t="s">
        <v>887</v>
      </c>
      <c r="K48" s="13" t="s">
        <v>888</v>
      </c>
      <c r="L48" s="13" t="s">
        <v>889</v>
      </c>
      <c r="M48" s="13" t="s">
        <v>890</v>
      </c>
      <c r="N48" s="13" t="s">
        <v>891</v>
      </c>
      <c r="O48" s="13" t="s">
        <v>892</v>
      </c>
      <c r="P48" s="13" t="s">
        <v>893</v>
      </c>
      <c r="Q48" s="13" t="s">
        <v>894</v>
      </c>
      <c r="R48" s="19" t="n">
        <v>0.35</v>
      </c>
      <c r="S48" s="13" t="s">
        <v>552</v>
      </c>
      <c r="T48" s="10" t="n">
        <f aca="false">COUNTIFS(Quests!$B$2:$B$3000,A48,Quests!$L$2:$L$3000,B48)</f>
        <v>12</v>
      </c>
      <c r="U48" s="14"/>
    </row>
    <row r="49" customFormat="false" ht="45.75" hidden="false" customHeight="true" outlineLevel="0" collapsed="false">
      <c r="A49" s="9" t="s">
        <v>260</v>
      </c>
      <c r="B49" s="9" t="n">
        <v>2</v>
      </c>
      <c r="C49" s="9" t="s">
        <v>895</v>
      </c>
      <c r="D49" s="9" t="s">
        <v>896</v>
      </c>
      <c r="E49" s="17" t="n">
        <v>10000</v>
      </c>
      <c r="F49" s="9" t="s">
        <v>897</v>
      </c>
      <c r="G49" s="17" t="n">
        <v>0</v>
      </c>
      <c r="H49" s="18" t="n">
        <f aca="false">IFERROR(G49/E49,0)</f>
        <v>0</v>
      </c>
      <c r="I49" s="9" t="s">
        <v>417</v>
      </c>
      <c r="J49" s="9" t="s">
        <v>898</v>
      </c>
      <c r="K49" s="13" t="s">
        <v>899</v>
      </c>
      <c r="L49" s="13" t="s">
        <v>900</v>
      </c>
      <c r="M49" s="13" t="s">
        <v>901</v>
      </c>
      <c r="N49" s="13" t="s">
        <v>902</v>
      </c>
      <c r="O49" s="13" t="s">
        <v>385</v>
      </c>
      <c r="P49" s="13" t="s">
        <v>903</v>
      </c>
      <c r="Q49" s="13" t="s">
        <v>904</v>
      </c>
      <c r="R49" s="19" t="n">
        <v>0.25</v>
      </c>
      <c r="S49" s="13" t="s">
        <v>400</v>
      </c>
      <c r="T49" s="10" t="n">
        <f aca="false">COUNTIFS(Quests!$B$2:$B$3000,A49,Quests!$L$2:$L$3000,B49)</f>
        <v>2</v>
      </c>
      <c r="U49" s="14"/>
    </row>
    <row r="50" customFormat="false" ht="45.75" hidden="false" customHeight="true" outlineLevel="0" collapsed="false">
      <c r="A50" s="9" t="s">
        <v>260</v>
      </c>
      <c r="B50" s="9" t="n">
        <v>3</v>
      </c>
      <c r="C50" s="9" t="s">
        <v>507</v>
      </c>
      <c r="D50" s="9" t="s">
        <v>905</v>
      </c>
      <c r="E50" s="17" t="n">
        <v>2</v>
      </c>
      <c r="F50" s="9" t="s">
        <v>906</v>
      </c>
      <c r="G50" s="17" t="n">
        <v>0</v>
      </c>
      <c r="H50" s="18" t="n">
        <f aca="false">IFERROR(G50/E50,0)</f>
        <v>0</v>
      </c>
      <c r="I50" s="9" t="s">
        <v>417</v>
      </c>
      <c r="J50" s="9" t="s">
        <v>907</v>
      </c>
      <c r="K50" s="13" t="s">
        <v>908</v>
      </c>
      <c r="L50" s="13" t="s">
        <v>909</v>
      </c>
      <c r="M50" s="13" t="s">
        <v>910</v>
      </c>
      <c r="N50" s="13" t="s">
        <v>911</v>
      </c>
      <c r="O50" s="13" t="s">
        <v>912</v>
      </c>
      <c r="P50" s="13" t="s">
        <v>913</v>
      </c>
      <c r="Q50" s="13" t="s">
        <v>914</v>
      </c>
      <c r="R50" s="19" t="n">
        <v>0.2</v>
      </c>
      <c r="S50" s="13" t="s">
        <v>915</v>
      </c>
      <c r="T50" s="10" t="n">
        <f aca="false">COUNTIFS(Quests!$B$2:$B$3000,A50,Quests!$L$2:$L$3000,B50)</f>
        <v>1</v>
      </c>
      <c r="U50" s="14"/>
    </row>
    <row r="51" customFormat="false" ht="45.75" hidden="false" customHeight="true" outlineLevel="0" collapsed="false">
      <c r="A51" s="9" t="s">
        <v>260</v>
      </c>
      <c r="B51" s="9" t="n">
        <v>4</v>
      </c>
      <c r="C51" s="9" t="s">
        <v>916</v>
      </c>
      <c r="D51" s="9" t="s">
        <v>917</v>
      </c>
      <c r="E51" s="17" t="n">
        <v>1</v>
      </c>
      <c r="F51" s="9" t="s">
        <v>918</v>
      </c>
      <c r="G51" s="17" t="n">
        <v>0</v>
      </c>
      <c r="H51" s="18" t="n">
        <f aca="false">IFERROR(G51/E51,0)</f>
        <v>0</v>
      </c>
      <c r="I51" s="9" t="s">
        <v>417</v>
      </c>
      <c r="J51" s="9" t="s">
        <v>919</v>
      </c>
      <c r="K51" s="13" t="s">
        <v>920</v>
      </c>
      <c r="L51" s="13" t="s">
        <v>921</v>
      </c>
      <c r="M51" s="13" t="s">
        <v>922</v>
      </c>
      <c r="N51" s="13" t="s">
        <v>923</v>
      </c>
      <c r="O51" s="13" t="s">
        <v>924</v>
      </c>
      <c r="P51" s="13" t="s">
        <v>925</v>
      </c>
      <c r="Q51" s="13" t="s">
        <v>926</v>
      </c>
      <c r="R51" s="19" t="n">
        <v>0.2</v>
      </c>
      <c r="S51" s="13" t="s">
        <v>400</v>
      </c>
      <c r="T51" s="10" t="n">
        <f aca="false">COUNTIFS(Quests!$B$2:$B$3000,A51,Quests!$L$2:$L$3000,B51)</f>
        <v>1</v>
      </c>
      <c r="U51" s="14"/>
    </row>
    <row r="52" customFormat="false" ht="45.75" hidden="false" customHeight="true" outlineLevel="0" collapsed="false">
      <c r="A52" s="9" t="s">
        <v>277</v>
      </c>
      <c r="B52" s="9" t="n">
        <v>1</v>
      </c>
      <c r="C52" s="9" t="s">
        <v>927</v>
      </c>
      <c r="D52" s="9" t="s">
        <v>928</v>
      </c>
      <c r="E52" s="17" t="n">
        <v>10</v>
      </c>
      <c r="F52" s="9" t="s">
        <v>929</v>
      </c>
      <c r="G52" s="17" t="n">
        <v>4</v>
      </c>
      <c r="H52" s="18" t="n">
        <f aca="false">IFERROR(G52/E52,0)</f>
        <v>0.4</v>
      </c>
      <c r="I52" s="9" t="s">
        <v>404</v>
      </c>
      <c r="J52" s="9" t="s">
        <v>930</v>
      </c>
      <c r="K52" s="13" t="s">
        <v>931</v>
      </c>
      <c r="L52" s="13" t="s">
        <v>932</v>
      </c>
      <c r="M52" s="13" t="s">
        <v>933</v>
      </c>
      <c r="N52" s="13" t="s">
        <v>934</v>
      </c>
      <c r="O52" s="13" t="s">
        <v>935</v>
      </c>
      <c r="P52" s="13" t="s">
        <v>936</v>
      </c>
      <c r="Q52" s="13" t="s">
        <v>937</v>
      </c>
      <c r="R52" s="19" t="n">
        <v>0.2</v>
      </c>
      <c r="S52" s="13" t="s">
        <v>388</v>
      </c>
      <c r="T52" s="10" t="n">
        <f aca="false">COUNTIFS(Quests!$B$2:$B$3000,A52,Quests!$L$2:$L$3000,B52)</f>
        <v>13</v>
      </c>
      <c r="U52" s="14"/>
    </row>
    <row r="53" customFormat="false" ht="34.5" hidden="false" customHeight="true" outlineLevel="0" collapsed="false">
      <c r="A53" s="9" t="s">
        <v>277</v>
      </c>
      <c r="B53" s="9" t="n">
        <v>2</v>
      </c>
      <c r="C53" s="9" t="s">
        <v>461</v>
      </c>
      <c r="D53" s="9" t="s">
        <v>938</v>
      </c>
      <c r="E53" s="17" t="n">
        <v>10</v>
      </c>
      <c r="F53" s="9" t="s">
        <v>929</v>
      </c>
      <c r="G53" s="17" t="n">
        <v>0</v>
      </c>
      <c r="H53" s="18" t="n">
        <f aca="false">IFERROR(G53/E53,0)</f>
        <v>0</v>
      </c>
      <c r="I53" s="9" t="s">
        <v>417</v>
      </c>
      <c r="J53" s="9" t="s">
        <v>939</v>
      </c>
      <c r="K53" s="13" t="s">
        <v>940</v>
      </c>
      <c r="L53" s="13" t="s">
        <v>941</v>
      </c>
      <c r="M53" s="13" t="s">
        <v>942</v>
      </c>
      <c r="N53" s="13" t="s">
        <v>943</v>
      </c>
      <c r="O53" s="13" t="s">
        <v>944</v>
      </c>
      <c r="P53" s="13" t="s">
        <v>945</v>
      </c>
      <c r="Q53" s="13" t="s">
        <v>946</v>
      </c>
      <c r="R53" s="19" t="n">
        <v>0.3</v>
      </c>
      <c r="S53" s="13" t="s">
        <v>947</v>
      </c>
      <c r="T53" s="10" t="n">
        <f aca="false">COUNTIFS(Quests!$B$2:$B$3000,A53,Quests!$L$2:$L$3000,B53)</f>
        <v>1</v>
      </c>
      <c r="U53" s="14"/>
    </row>
    <row r="54" customFormat="false" ht="34.5" hidden="false" customHeight="true" outlineLevel="0" collapsed="false">
      <c r="A54" s="9" t="s">
        <v>277</v>
      </c>
      <c r="B54" s="9" t="n">
        <v>3</v>
      </c>
      <c r="C54" s="9" t="s">
        <v>948</v>
      </c>
      <c r="D54" s="9" t="s">
        <v>949</v>
      </c>
      <c r="E54" s="17" t="n">
        <v>1</v>
      </c>
      <c r="F54" s="9" t="s">
        <v>519</v>
      </c>
      <c r="G54" s="17" t="n">
        <v>0</v>
      </c>
      <c r="H54" s="18" t="n">
        <f aca="false">IFERROR(G54/E54,0)</f>
        <v>0</v>
      </c>
      <c r="I54" s="9" t="s">
        <v>417</v>
      </c>
      <c r="J54" s="9" t="s">
        <v>950</v>
      </c>
      <c r="K54" s="13" t="s">
        <v>951</v>
      </c>
      <c r="L54" s="13" t="s">
        <v>952</v>
      </c>
      <c r="M54" s="13" t="s">
        <v>953</v>
      </c>
      <c r="N54" s="13" t="s">
        <v>954</v>
      </c>
      <c r="O54" s="13" t="s">
        <v>385</v>
      </c>
      <c r="P54" s="13" t="s">
        <v>955</v>
      </c>
      <c r="Q54" s="13" t="s">
        <v>956</v>
      </c>
      <c r="R54" s="19" t="n">
        <v>0.3</v>
      </c>
      <c r="S54" s="13" t="s">
        <v>388</v>
      </c>
      <c r="T54" s="10" t="n">
        <f aca="false">COUNTIFS(Quests!$B$2:$B$3000,A54,Quests!$L$2:$L$3000,B54)</f>
        <v>1</v>
      </c>
      <c r="U54" s="14"/>
    </row>
    <row r="55" customFormat="false" ht="34.5" hidden="false" customHeight="true" outlineLevel="0" collapsed="false">
      <c r="A55" s="9" t="s">
        <v>277</v>
      </c>
      <c r="B55" s="9" t="n">
        <v>4</v>
      </c>
      <c r="C55" s="9" t="s">
        <v>957</v>
      </c>
      <c r="D55" s="9" t="s">
        <v>958</v>
      </c>
      <c r="E55" s="17" t="n">
        <v>1000</v>
      </c>
      <c r="F55" s="9" t="s">
        <v>959</v>
      </c>
      <c r="G55" s="17" t="n">
        <v>0</v>
      </c>
      <c r="H55" s="18" t="n">
        <f aca="false">IFERROR(G55/E55,0)</f>
        <v>0</v>
      </c>
      <c r="I55" s="9" t="s">
        <v>417</v>
      </c>
      <c r="J55" s="9" t="s">
        <v>960</v>
      </c>
      <c r="K55" s="13" t="s">
        <v>961</v>
      </c>
      <c r="L55" s="13" t="s">
        <v>962</v>
      </c>
      <c r="M55" s="13" t="s">
        <v>963</v>
      </c>
      <c r="N55" s="13" t="s">
        <v>964</v>
      </c>
      <c r="O55" s="13" t="s">
        <v>385</v>
      </c>
      <c r="P55" s="13" t="s">
        <v>965</v>
      </c>
      <c r="Q55" s="13" t="s">
        <v>966</v>
      </c>
      <c r="R55" s="19" t="n">
        <v>0.2</v>
      </c>
      <c r="S55" s="13" t="s">
        <v>967</v>
      </c>
      <c r="T55" s="10" t="n">
        <f aca="false">COUNTIFS(Quests!$B$2:$B$3000,A55,Quests!$L$2:$L$3000,B55)</f>
        <v>1</v>
      </c>
      <c r="U55" s="14"/>
    </row>
    <row r="56" customFormat="false" ht="45.75" hidden="false" customHeight="true" outlineLevel="0" collapsed="false">
      <c r="A56" s="9" t="s">
        <v>294</v>
      </c>
      <c r="B56" s="9" t="n">
        <v>1</v>
      </c>
      <c r="C56" s="9" t="s">
        <v>641</v>
      </c>
      <c r="D56" s="9" t="s">
        <v>968</v>
      </c>
      <c r="E56" s="17" t="n">
        <v>1100</v>
      </c>
      <c r="F56" s="9" t="s">
        <v>969</v>
      </c>
      <c r="G56" s="17" t="n">
        <v>1100</v>
      </c>
      <c r="H56" s="18" t="n">
        <f aca="false">IFERROR(G56/E56,0)</f>
        <v>1</v>
      </c>
      <c r="I56" s="9" t="s">
        <v>379</v>
      </c>
      <c r="J56" s="9" t="s">
        <v>970</v>
      </c>
      <c r="K56" s="13" t="s">
        <v>971</v>
      </c>
      <c r="L56" s="13" t="s">
        <v>972</v>
      </c>
      <c r="M56" s="13" t="s">
        <v>973</v>
      </c>
      <c r="N56" s="13" t="s">
        <v>974</v>
      </c>
      <c r="O56" s="13" t="s">
        <v>385</v>
      </c>
      <c r="P56" s="13" t="s">
        <v>386</v>
      </c>
      <c r="Q56" s="13" t="s">
        <v>975</v>
      </c>
      <c r="R56" s="19" t="n">
        <v>0.45</v>
      </c>
      <c r="S56" s="13" t="s">
        <v>976</v>
      </c>
      <c r="T56" s="10" t="n">
        <f aca="false">COUNTIFS(Quests!$B$2:$B$3000,A56,Quests!$L$2:$L$3000,B56)</f>
        <v>3</v>
      </c>
      <c r="U56" s="14"/>
    </row>
    <row r="57" customFormat="false" ht="45.75" hidden="false" customHeight="true" outlineLevel="0" collapsed="false">
      <c r="A57" s="9" t="s">
        <v>294</v>
      </c>
      <c r="B57" s="9" t="n">
        <v>2</v>
      </c>
      <c r="C57" s="9" t="s">
        <v>873</v>
      </c>
      <c r="D57" s="9" t="s">
        <v>977</v>
      </c>
      <c r="E57" s="17" t="n">
        <v>300</v>
      </c>
      <c r="F57" s="9" t="s">
        <v>978</v>
      </c>
      <c r="G57" s="17" t="n">
        <v>300</v>
      </c>
      <c r="H57" s="18" t="n">
        <f aca="false">IFERROR(G57/E57,0)</f>
        <v>1</v>
      </c>
      <c r="I57" s="9" t="s">
        <v>379</v>
      </c>
      <c r="J57" s="9" t="s">
        <v>979</v>
      </c>
      <c r="K57" s="13" t="s">
        <v>980</v>
      </c>
      <c r="L57" s="13" t="s">
        <v>981</v>
      </c>
      <c r="M57" s="13" t="s">
        <v>982</v>
      </c>
      <c r="N57" s="13" t="s">
        <v>983</v>
      </c>
      <c r="O57" s="13" t="s">
        <v>847</v>
      </c>
      <c r="P57" s="13" t="s">
        <v>984</v>
      </c>
      <c r="Q57" s="13" t="s">
        <v>985</v>
      </c>
      <c r="R57" s="19" t="n">
        <v>0.25</v>
      </c>
      <c r="S57" s="13" t="s">
        <v>986</v>
      </c>
      <c r="T57" s="10" t="n">
        <f aca="false">COUNTIFS(Quests!$B$2:$B$3000,A57,Quests!$L$2:$L$3000,B57)</f>
        <v>2</v>
      </c>
      <c r="U57" s="14"/>
    </row>
    <row r="58" customFormat="false" ht="34.5" hidden="false" customHeight="true" outlineLevel="0" collapsed="false">
      <c r="A58" s="9" t="s">
        <v>294</v>
      </c>
      <c r="B58" s="9" t="n">
        <v>3</v>
      </c>
      <c r="C58" s="9" t="s">
        <v>818</v>
      </c>
      <c r="D58" s="9" t="s">
        <v>987</v>
      </c>
      <c r="E58" s="17" t="n">
        <v>200</v>
      </c>
      <c r="F58" s="9" t="s">
        <v>988</v>
      </c>
      <c r="G58" s="17" t="n">
        <v>200</v>
      </c>
      <c r="H58" s="18" t="n">
        <f aca="false">IFERROR(G58/E58,0)</f>
        <v>1</v>
      </c>
      <c r="I58" s="9" t="s">
        <v>379</v>
      </c>
      <c r="J58" s="9" t="s">
        <v>989</v>
      </c>
      <c r="K58" s="13" t="s">
        <v>990</v>
      </c>
      <c r="L58" s="13" t="s">
        <v>991</v>
      </c>
      <c r="M58" s="13" t="s">
        <v>992</v>
      </c>
      <c r="N58" s="13" t="s">
        <v>993</v>
      </c>
      <c r="O58" s="13" t="s">
        <v>870</v>
      </c>
      <c r="P58" s="13" t="s">
        <v>994</v>
      </c>
      <c r="Q58" s="13" t="s">
        <v>995</v>
      </c>
      <c r="R58" s="19" t="n">
        <v>0.3</v>
      </c>
      <c r="S58" s="13" t="s">
        <v>996</v>
      </c>
      <c r="T58" s="10" t="n">
        <f aca="false">COUNTIFS(Quests!$B$2:$B$3000,A58,Quests!$L$2:$L$3000,B58)</f>
        <v>1</v>
      </c>
      <c r="U58" s="14"/>
    </row>
    <row r="59" customFormat="false" ht="34.5" hidden="false" customHeight="true" outlineLevel="0" collapsed="false">
      <c r="A59" s="9" t="s">
        <v>312</v>
      </c>
      <c r="B59" s="9" t="n">
        <v>1</v>
      </c>
      <c r="C59" s="9" t="s">
        <v>997</v>
      </c>
      <c r="D59" s="9" t="s">
        <v>998</v>
      </c>
      <c r="E59" s="17" t="n">
        <v>12</v>
      </c>
      <c r="F59" s="9" t="s">
        <v>999</v>
      </c>
      <c r="G59" s="17" t="n">
        <v>12</v>
      </c>
      <c r="H59" s="18" t="n">
        <f aca="false">IFERROR(G59/E59,0)</f>
        <v>1</v>
      </c>
      <c r="I59" s="9" t="s">
        <v>379</v>
      </c>
      <c r="J59" s="9" t="s">
        <v>1000</v>
      </c>
      <c r="K59" s="13" t="s">
        <v>1001</v>
      </c>
      <c r="L59" s="13" t="s">
        <v>1002</v>
      </c>
      <c r="M59" s="13" t="s">
        <v>1003</v>
      </c>
      <c r="N59" s="13" t="s">
        <v>1004</v>
      </c>
      <c r="O59" s="13" t="s">
        <v>1005</v>
      </c>
      <c r="P59" s="13" t="s">
        <v>1006</v>
      </c>
      <c r="Q59" s="13" t="s">
        <v>1007</v>
      </c>
      <c r="R59" s="19" t="n">
        <v>0.2</v>
      </c>
      <c r="S59" s="13" t="s">
        <v>986</v>
      </c>
      <c r="T59" s="10" t="n">
        <f aca="false">COUNTIFS(Quests!$B$2:$B$3000,A59,Quests!$L$2:$L$3000,B59)</f>
        <v>2</v>
      </c>
      <c r="U59" s="14"/>
    </row>
    <row r="60" customFormat="false" ht="45.75" hidden="false" customHeight="true" outlineLevel="0" collapsed="false">
      <c r="A60" s="9" t="s">
        <v>312</v>
      </c>
      <c r="B60" s="9" t="n">
        <v>2</v>
      </c>
      <c r="C60" s="9" t="s">
        <v>507</v>
      </c>
      <c r="D60" s="9" t="s">
        <v>1008</v>
      </c>
      <c r="E60" s="17" t="n">
        <v>10</v>
      </c>
      <c r="F60" s="9" t="s">
        <v>1009</v>
      </c>
      <c r="G60" s="17" t="n">
        <v>10</v>
      </c>
      <c r="H60" s="18" t="n">
        <f aca="false">IFERROR(G60/E60,0)</f>
        <v>1</v>
      </c>
      <c r="I60" s="9" t="s">
        <v>379</v>
      </c>
      <c r="J60" s="9" t="s">
        <v>1010</v>
      </c>
      <c r="K60" s="13" t="s">
        <v>1011</v>
      </c>
      <c r="L60" s="13" t="s">
        <v>1012</v>
      </c>
      <c r="M60" s="13" t="s">
        <v>1013</v>
      </c>
      <c r="N60" s="13" t="s">
        <v>1014</v>
      </c>
      <c r="O60" s="13" t="s">
        <v>1015</v>
      </c>
      <c r="P60" s="13" t="s">
        <v>1016</v>
      </c>
      <c r="Q60" s="13" t="s">
        <v>1017</v>
      </c>
      <c r="R60" s="19" t="n">
        <v>0.3</v>
      </c>
      <c r="S60" s="13" t="s">
        <v>986</v>
      </c>
      <c r="T60" s="10" t="n">
        <f aca="false">COUNTIFS(Quests!$B$2:$B$3000,A60,Quests!$L$2:$L$3000,B60)</f>
        <v>1</v>
      </c>
      <c r="U60" s="14"/>
    </row>
    <row r="61" customFormat="false" ht="34.5" hidden="false" customHeight="true" outlineLevel="0" collapsed="false">
      <c r="A61" s="9" t="s">
        <v>312</v>
      </c>
      <c r="B61" s="9" t="n">
        <v>3</v>
      </c>
      <c r="C61" s="9" t="s">
        <v>1018</v>
      </c>
      <c r="D61" s="9" t="s">
        <v>1019</v>
      </c>
      <c r="E61" s="17" t="n">
        <v>8</v>
      </c>
      <c r="F61" s="9" t="s">
        <v>452</v>
      </c>
      <c r="G61" s="17" t="n">
        <v>8</v>
      </c>
      <c r="H61" s="18" t="n">
        <f aca="false">IFERROR(G61/E61,0)</f>
        <v>1</v>
      </c>
      <c r="I61" s="9" t="s">
        <v>379</v>
      </c>
      <c r="J61" s="9" t="s">
        <v>1020</v>
      </c>
      <c r="K61" s="13" t="s">
        <v>1021</v>
      </c>
      <c r="L61" s="13" t="s">
        <v>1022</v>
      </c>
      <c r="M61" s="13" t="s">
        <v>1023</v>
      </c>
      <c r="N61" s="13" t="s">
        <v>1024</v>
      </c>
      <c r="O61" s="13" t="s">
        <v>385</v>
      </c>
      <c r="P61" s="13" t="s">
        <v>1025</v>
      </c>
      <c r="Q61" s="13" t="s">
        <v>1026</v>
      </c>
      <c r="R61" s="19" t="n">
        <v>0.15</v>
      </c>
      <c r="S61" s="13" t="s">
        <v>1027</v>
      </c>
      <c r="T61" s="10" t="n">
        <f aca="false">COUNTIFS(Quests!$B$2:$B$3000,A61,Quests!$L$2:$L$3000,B61)</f>
        <v>1</v>
      </c>
      <c r="U61" s="14"/>
    </row>
    <row r="62" customFormat="false" ht="34.5" hidden="false" customHeight="true" outlineLevel="0" collapsed="false">
      <c r="A62" s="9" t="s">
        <v>312</v>
      </c>
      <c r="B62" s="9" t="n">
        <v>4</v>
      </c>
      <c r="C62" s="9" t="s">
        <v>1028</v>
      </c>
      <c r="D62" s="9" t="s">
        <v>1029</v>
      </c>
      <c r="E62" s="17" t="n">
        <v>300</v>
      </c>
      <c r="F62" s="9" t="s">
        <v>1030</v>
      </c>
      <c r="G62" s="17" t="n">
        <v>300</v>
      </c>
      <c r="H62" s="18" t="n">
        <f aca="false">IFERROR(G62/E62,0)</f>
        <v>1</v>
      </c>
      <c r="I62" s="9" t="s">
        <v>379</v>
      </c>
      <c r="J62" s="9" t="s">
        <v>1031</v>
      </c>
      <c r="K62" s="13" t="s">
        <v>1032</v>
      </c>
      <c r="L62" s="13" t="s">
        <v>1033</v>
      </c>
      <c r="M62" s="13" t="s">
        <v>1034</v>
      </c>
      <c r="N62" s="13" t="s">
        <v>1035</v>
      </c>
      <c r="O62" s="13" t="s">
        <v>1036</v>
      </c>
      <c r="P62" s="13" t="s">
        <v>1018</v>
      </c>
      <c r="Q62" s="13" t="s">
        <v>1037</v>
      </c>
      <c r="R62" s="19" t="n">
        <v>0.35</v>
      </c>
      <c r="S62" s="13" t="s">
        <v>1038</v>
      </c>
      <c r="T62" s="10" t="n">
        <f aca="false">COUNTIFS(Quests!$B$2:$B$3000,A62,Quests!$L$2:$L$3000,B62)</f>
        <v>1</v>
      </c>
      <c r="U62" s="14"/>
    </row>
    <row r="63" customFormat="false" ht="45.75" hidden="false" customHeight="true" outlineLevel="0" collapsed="false">
      <c r="A63" s="9" t="s">
        <v>326</v>
      </c>
      <c r="B63" s="9" t="n">
        <v>1</v>
      </c>
      <c r="C63" s="9" t="s">
        <v>1039</v>
      </c>
      <c r="D63" s="9" t="s">
        <v>1040</v>
      </c>
      <c r="E63" s="17" t="n">
        <v>2600</v>
      </c>
      <c r="F63" s="9" t="s">
        <v>326</v>
      </c>
      <c r="G63" s="17" t="n">
        <v>2600</v>
      </c>
      <c r="H63" s="18" t="n">
        <f aca="false">IFERROR(G63/E63,0)</f>
        <v>1</v>
      </c>
      <c r="I63" s="9" t="s">
        <v>379</v>
      </c>
      <c r="J63" s="9" t="s">
        <v>1041</v>
      </c>
      <c r="K63" s="13" t="s">
        <v>1042</v>
      </c>
      <c r="L63" s="13" t="s">
        <v>1043</v>
      </c>
      <c r="M63" s="13" t="s">
        <v>1044</v>
      </c>
      <c r="N63" s="13" t="s">
        <v>1045</v>
      </c>
      <c r="O63" s="13" t="s">
        <v>385</v>
      </c>
      <c r="P63" s="13" t="s">
        <v>1046</v>
      </c>
      <c r="Q63" s="13" t="s">
        <v>1047</v>
      </c>
      <c r="R63" s="19" t="n">
        <v>0.4</v>
      </c>
      <c r="S63" s="13" t="s">
        <v>1048</v>
      </c>
      <c r="T63" s="10" t="n">
        <f aca="false">COUNTIFS(Quests!$B$2:$B$3000,A63,Quests!$L$2:$L$3000,B63)</f>
        <v>2</v>
      </c>
      <c r="U63" s="14"/>
    </row>
    <row r="64" customFormat="false" ht="34.5" hidden="false" customHeight="true" outlineLevel="0" collapsed="false">
      <c r="A64" s="9" t="s">
        <v>326</v>
      </c>
      <c r="B64" s="9" t="n">
        <v>2</v>
      </c>
      <c r="C64" s="9" t="s">
        <v>873</v>
      </c>
      <c r="D64" s="9" t="s">
        <v>1049</v>
      </c>
      <c r="E64" s="17" t="n">
        <v>412</v>
      </c>
      <c r="F64" s="9" t="s">
        <v>800</v>
      </c>
      <c r="G64" s="17" t="n">
        <v>412</v>
      </c>
      <c r="H64" s="18" t="n">
        <f aca="false">IFERROR(G64/E64,0)</f>
        <v>1</v>
      </c>
      <c r="I64" s="9" t="s">
        <v>379</v>
      </c>
      <c r="J64" s="9" t="s">
        <v>1050</v>
      </c>
      <c r="K64" s="13" t="s">
        <v>1051</v>
      </c>
      <c r="L64" s="13" t="s">
        <v>1052</v>
      </c>
      <c r="M64" s="13" t="s">
        <v>1053</v>
      </c>
      <c r="N64" s="13" t="s">
        <v>1054</v>
      </c>
      <c r="O64" s="13" t="s">
        <v>385</v>
      </c>
      <c r="P64" s="13" t="s">
        <v>1055</v>
      </c>
      <c r="Q64" s="13" t="s">
        <v>1056</v>
      </c>
      <c r="R64" s="19" t="n">
        <v>0.1</v>
      </c>
      <c r="S64" s="13" t="s">
        <v>1057</v>
      </c>
      <c r="T64" s="10" t="n">
        <f aca="false">COUNTIFS(Quests!$B$2:$B$3000,A64,Quests!$L$2:$L$3000,B64)</f>
        <v>1</v>
      </c>
      <c r="U64" s="14"/>
    </row>
    <row r="65" customFormat="false" ht="45.75" hidden="false" customHeight="true" outlineLevel="0" collapsed="false">
      <c r="A65" s="9" t="s">
        <v>326</v>
      </c>
      <c r="B65" s="9" t="n">
        <v>3</v>
      </c>
      <c r="C65" s="9" t="s">
        <v>1058</v>
      </c>
      <c r="D65" s="9" t="s">
        <v>1059</v>
      </c>
      <c r="E65" s="17" t="n">
        <v>300</v>
      </c>
      <c r="F65" s="9" t="s">
        <v>326</v>
      </c>
      <c r="G65" s="17" t="n">
        <v>300</v>
      </c>
      <c r="H65" s="18" t="n">
        <f aca="false">IFERROR(G65/E65,0)</f>
        <v>1</v>
      </c>
      <c r="I65" s="9" t="s">
        <v>379</v>
      </c>
      <c r="J65" s="9" t="s">
        <v>1060</v>
      </c>
      <c r="K65" s="13" t="s">
        <v>1061</v>
      </c>
      <c r="L65" s="13" t="s">
        <v>1062</v>
      </c>
      <c r="M65" s="13" t="s">
        <v>1063</v>
      </c>
      <c r="N65" s="13" t="s">
        <v>1064</v>
      </c>
      <c r="O65" s="13" t="s">
        <v>385</v>
      </c>
      <c r="P65" s="13" t="s">
        <v>1065</v>
      </c>
      <c r="Q65" s="13" t="s">
        <v>1066</v>
      </c>
      <c r="R65" s="19" t="n">
        <v>0.3</v>
      </c>
      <c r="S65" s="13" t="s">
        <v>1067</v>
      </c>
      <c r="T65" s="10" t="n">
        <f aca="false">COUNTIFS(Quests!$B$2:$B$3000,A65,Quests!$L$2:$L$3000,B65)</f>
        <v>2</v>
      </c>
      <c r="U65" s="14"/>
    </row>
    <row r="66" customFormat="false" ht="34.5" hidden="false" customHeight="true" outlineLevel="0" collapsed="false">
      <c r="A66" s="9" t="s">
        <v>326</v>
      </c>
      <c r="B66" s="9" t="n">
        <v>4</v>
      </c>
      <c r="C66" s="9" t="s">
        <v>1068</v>
      </c>
      <c r="D66" s="9" t="s">
        <v>1069</v>
      </c>
      <c r="E66" s="17" t="n">
        <v>300</v>
      </c>
      <c r="F66" s="9" t="s">
        <v>326</v>
      </c>
      <c r="G66" s="17" t="n">
        <v>300</v>
      </c>
      <c r="H66" s="18" t="n">
        <f aca="false">IFERROR(G66/E66,0)</f>
        <v>1</v>
      </c>
      <c r="I66" s="9" t="s">
        <v>379</v>
      </c>
      <c r="J66" s="9" t="s">
        <v>1070</v>
      </c>
      <c r="K66" s="13" t="s">
        <v>1071</v>
      </c>
      <c r="L66" s="13" t="s">
        <v>1072</v>
      </c>
      <c r="M66" s="13" t="s">
        <v>1073</v>
      </c>
      <c r="N66" s="13" t="s">
        <v>1074</v>
      </c>
      <c r="O66" s="13" t="s">
        <v>385</v>
      </c>
      <c r="P66" s="13" t="s">
        <v>1075</v>
      </c>
      <c r="Q66" s="13" t="s">
        <v>1076</v>
      </c>
      <c r="R66" s="19" t="n">
        <v>0.2</v>
      </c>
      <c r="S66" s="13" t="s">
        <v>1048</v>
      </c>
      <c r="T66" s="10" t="n">
        <f aca="false">COUNTIFS(Quests!$B$2:$B$3000,A66,Quests!$L$2:$L$3000,B66)</f>
        <v>1</v>
      </c>
      <c r="U66" s="14"/>
    </row>
    <row r="67" customFormat="false" ht="34.5" hidden="false" customHeight="true" outlineLevel="0" collapsed="false">
      <c r="A67" s="9" t="s">
        <v>342</v>
      </c>
      <c r="B67" s="9" t="n">
        <v>1</v>
      </c>
      <c r="C67" s="9" t="s">
        <v>1077</v>
      </c>
      <c r="D67" s="9" t="s">
        <v>1078</v>
      </c>
      <c r="E67" s="17" t="n">
        <v>5</v>
      </c>
      <c r="F67" s="9" t="s">
        <v>1079</v>
      </c>
      <c r="G67" s="17" t="n">
        <v>5</v>
      </c>
      <c r="H67" s="18" t="n">
        <f aca="false">IFERROR(G67/E67,0)</f>
        <v>1</v>
      </c>
      <c r="I67" s="9" t="s">
        <v>379</v>
      </c>
      <c r="J67" s="9" t="s">
        <v>1080</v>
      </c>
      <c r="K67" s="13" t="s">
        <v>1081</v>
      </c>
      <c r="L67" s="13" t="s">
        <v>1082</v>
      </c>
      <c r="M67" s="13" t="s">
        <v>1083</v>
      </c>
      <c r="N67" s="13" t="s">
        <v>1084</v>
      </c>
      <c r="O67" s="13" t="s">
        <v>385</v>
      </c>
      <c r="P67" s="13" t="s">
        <v>1085</v>
      </c>
      <c r="Q67" s="13" t="s">
        <v>1086</v>
      </c>
      <c r="R67" s="19" t="n">
        <v>0.4</v>
      </c>
      <c r="S67" s="13" t="s">
        <v>986</v>
      </c>
      <c r="T67" s="10" t="n">
        <f aca="false">COUNTIFS(Quests!$B$2:$B$3000,A67,Quests!$L$2:$L$3000,B67)</f>
        <v>2</v>
      </c>
      <c r="U67" s="14"/>
    </row>
    <row r="68" customFormat="false" ht="34.5" hidden="false" customHeight="true" outlineLevel="0" collapsed="false">
      <c r="A68" s="9" t="s">
        <v>342</v>
      </c>
      <c r="B68" s="9" t="n">
        <v>2</v>
      </c>
      <c r="C68" s="9" t="s">
        <v>575</v>
      </c>
      <c r="D68" s="9" t="s">
        <v>1087</v>
      </c>
      <c r="E68" s="17" t="n">
        <v>50</v>
      </c>
      <c r="F68" s="9" t="s">
        <v>886</v>
      </c>
      <c r="G68" s="17" t="n">
        <v>50</v>
      </c>
      <c r="H68" s="18" t="n">
        <f aca="false">IFERROR(G68/E68,0)</f>
        <v>1</v>
      </c>
      <c r="I68" s="9" t="s">
        <v>379</v>
      </c>
      <c r="J68" s="9" t="s">
        <v>1088</v>
      </c>
      <c r="K68" s="13" t="s">
        <v>1089</v>
      </c>
      <c r="L68" s="13" t="s">
        <v>1090</v>
      </c>
      <c r="M68" s="13" t="s">
        <v>1091</v>
      </c>
      <c r="N68" s="13" t="s">
        <v>1092</v>
      </c>
      <c r="O68" s="13" t="s">
        <v>385</v>
      </c>
      <c r="P68" s="13" t="s">
        <v>1093</v>
      </c>
      <c r="Q68" s="13" t="s">
        <v>1094</v>
      </c>
      <c r="R68" s="19" t="n">
        <v>0.6</v>
      </c>
      <c r="S68" s="13" t="s">
        <v>1095</v>
      </c>
      <c r="T68" s="10" t="n">
        <f aca="false">COUNTIFS(Quests!$B$2:$B$3000,A68,Quests!$L$2:$L$3000,B68)</f>
        <v>3</v>
      </c>
      <c r="U68" s="14"/>
    </row>
    <row r="69" customFormat="false" ht="15" hidden="false" customHeight="false" outlineLevel="0" collapsed="false">
      <c r="A69" s="1" t="s">
        <v>67</v>
      </c>
      <c r="B69" s="1" t="n">
        <v>6</v>
      </c>
      <c r="C69" s="1" t="s">
        <v>1096</v>
      </c>
      <c r="D69" s="1" t="s">
        <v>1097</v>
      </c>
      <c r="E69" s="1" t="n">
        <v>20</v>
      </c>
      <c r="F69" s="1" t="s">
        <v>1098</v>
      </c>
      <c r="G69" s="1" t="n">
        <v>0</v>
      </c>
      <c r="H69" s="1" t="n">
        <f aca="false">IFERROR(G69/E69,0)</f>
        <v>0</v>
      </c>
      <c r="I69" s="20" t="s">
        <v>417</v>
      </c>
      <c r="J69" s="1" t="s">
        <v>1099</v>
      </c>
      <c r="K69" s="1" t="s">
        <v>1100</v>
      </c>
      <c r="N69" s="1" t="s">
        <v>1101</v>
      </c>
      <c r="O69" s="1" t="s">
        <v>1102</v>
      </c>
      <c r="P69" s="1" t="s">
        <v>1103</v>
      </c>
      <c r="T69" s="1" t="n">
        <f aca="false">COUNTIFS(Quests!$B$2:$B$3000,A69,Quests!$L$2:$L$3000,B69)</f>
        <v>0</v>
      </c>
    </row>
    <row r="70" customFormat="false" ht="15" hidden="false" customHeight="false" outlineLevel="0" collapsed="false">
      <c r="A70" s="1" t="s">
        <v>87</v>
      </c>
      <c r="B70" s="1" t="n">
        <v>5</v>
      </c>
      <c r="C70" s="1" t="s">
        <v>1104</v>
      </c>
      <c r="D70" s="1" t="s">
        <v>1105</v>
      </c>
      <c r="E70" s="1" t="n">
        <v>100</v>
      </c>
      <c r="F70" s="1" t="s">
        <v>441</v>
      </c>
      <c r="G70" s="1" t="n">
        <v>0</v>
      </c>
      <c r="H70" s="1" t="n">
        <f aca="false">IFERROR(G70/E70,0)</f>
        <v>0</v>
      </c>
      <c r="I70" s="20" t="s">
        <v>417</v>
      </c>
      <c r="J70" s="1" t="s">
        <v>1106</v>
      </c>
      <c r="K70" s="1" t="s">
        <v>1107</v>
      </c>
      <c r="N70" s="1" t="s">
        <v>1108</v>
      </c>
      <c r="O70" s="1" t="s">
        <v>447</v>
      </c>
      <c r="P70" s="1" t="s">
        <v>1109</v>
      </c>
      <c r="T70" s="1" t="n">
        <f aca="false">COUNTIFS(Quests!$B$2:$B$3000,A70,Quests!$L$2:$L$3000,B70)</f>
        <v>0</v>
      </c>
    </row>
    <row r="71" customFormat="false" ht="15" hidden="false" customHeight="false" outlineLevel="0" collapsed="false">
      <c r="A71" s="1" t="s">
        <v>104</v>
      </c>
      <c r="B71" s="1" t="n">
        <v>5</v>
      </c>
      <c r="C71" s="1" t="s">
        <v>957</v>
      </c>
      <c r="D71" s="1" t="s">
        <v>1110</v>
      </c>
      <c r="E71" s="1" t="n">
        <v>10000</v>
      </c>
      <c r="F71" s="1" t="s">
        <v>475</v>
      </c>
      <c r="G71" s="1" t="n">
        <v>0</v>
      </c>
      <c r="H71" s="1" t="n">
        <f aca="false">IFERROR(G71/E71,0)</f>
        <v>0</v>
      </c>
      <c r="I71" s="20" t="s">
        <v>417</v>
      </c>
      <c r="J71" s="1" t="s">
        <v>1111</v>
      </c>
      <c r="K71" s="1" t="s">
        <v>1112</v>
      </c>
      <c r="N71" s="1" t="s">
        <v>1113</v>
      </c>
      <c r="O71" s="1" t="s">
        <v>385</v>
      </c>
      <c r="P71" s="1" t="s">
        <v>1109</v>
      </c>
      <c r="T71" s="1" t="n">
        <f aca="false">COUNTIFS(Quests!$B$2:$B$3000,A71,Quests!$L$2:$L$3000,B71)</f>
        <v>0</v>
      </c>
    </row>
    <row r="72" customFormat="false" ht="15" hidden="false" customHeight="false" outlineLevel="0" collapsed="false">
      <c r="A72" s="1" t="s">
        <v>157</v>
      </c>
      <c r="B72" s="1" t="n">
        <v>5</v>
      </c>
      <c r="C72" s="1" t="s">
        <v>1114</v>
      </c>
      <c r="D72" s="1" t="s">
        <v>1115</v>
      </c>
      <c r="E72" s="1" t="n">
        <v>500</v>
      </c>
      <c r="F72" s="1" t="s">
        <v>652</v>
      </c>
      <c r="G72" s="1" t="n">
        <v>0</v>
      </c>
      <c r="H72" s="1" t="n">
        <f aca="false">IFERROR(G72/E72,0)</f>
        <v>0</v>
      </c>
      <c r="I72" s="20" t="s">
        <v>417</v>
      </c>
      <c r="J72" s="1" t="s">
        <v>1116</v>
      </c>
      <c r="K72" s="1" t="s">
        <v>1117</v>
      </c>
      <c r="N72" s="1" t="s">
        <v>1118</v>
      </c>
      <c r="O72" s="1" t="s">
        <v>385</v>
      </c>
      <c r="P72" s="1" t="s">
        <v>1109</v>
      </c>
      <c r="T72" s="1" t="n">
        <f aca="false">COUNTIFS(Quests!$B$2:$B$3000,A72,Quests!$L$2:$L$3000,B72)</f>
        <v>0</v>
      </c>
    </row>
    <row r="73" customFormat="false" ht="15" hidden="false" customHeight="false" outlineLevel="0" collapsed="false">
      <c r="A73" s="1" t="s">
        <v>227</v>
      </c>
      <c r="B73" s="1" t="n">
        <v>5</v>
      </c>
      <c r="C73" s="1" t="s">
        <v>1119</v>
      </c>
      <c r="D73" s="1" t="s">
        <v>1120</v>
      </c>
      <c r="E73" s="1" t="n">
        <v>50</v>
      </c>
      <c r="F73" s="1" t="s">
        <v>1121</v>
      </c>
      <c r="G73" s="1" t="n">
        <v>0</v>
      </c>
      <c r="H73" s="1" t="n">
        <f aca="false">IFERROR(G73/E73,0)</f>
        <v>0</v>
      </c>
      <c r="I73" s="20" t="s">
        <v>417</v>
      </c>
      <c r="J73" s="1" t="s">
        <v>1122</v>
      </c>
      <c r="K73" s="1" t="s">
        <v>1123</v>
      </c>
      <c r="N73" s="1" t="s">
        <v>1124</v>
      </c>
      <c r="O73" s="1" t="s">
        <v>385</v>
      </c>
      <c r="P73" s="1" t="s">
        <v>1109</v>
      </c>
      <c r="T73" s="1" t="n">
        <f aca="false">COUNTIFS(Quests!$B$2:$B$3000,A73,Quests!$L$2:$L$3000,B73)</f>
        <v>0</v>
      </c>
    </row>
    <row r="74" customFormat="false" ht="15" hidden="false" customHeight="false" outlineLevel="0" collapsed="false">
      <c r="A74" s="1" t="s">
        <v>244</v>
      </c>
      <c r="B74" s="1" t="n">
        <v>6</v>
      </c>
      <c r="C74" s="1" t="s">
        <v>818</v>
      </c>
      <c r="D74" s="1" t="s">
        <v>1125</v>
      </c>
      <c r="E74" s="1" t="n">
        <v>50</v>
      </c>
      <c r="F74" s="1" t="s">
        <v>831</v>
      </c>
      <c r="G74" s="1" t="n">
        <v>0</v>
      </c>
      <c r="H74" s="1" t="n">
        <f aca="false">IFERROR(G74/E74,0)</f>
        <v>0</v>
      </c>
      <c r="I74" s="20" t="s">
        <v>417</v>
      </c>
      <c r="J74" s="1" t="s">
        <v>1126</v>
      </c>
      <c r="K74" s="1" t="s">
        <v>1127</v>
      </c>
      <c r="N74" s="1" t="s">
        <v>1128</v>
      </c>
      <c r="O74" s="1" t="s">
        <v>385</v>
      </c>
      <c r="P74" s="1" t="s">
        <v>1103</v>
      </c>
      <c r="T74" s="1" t="n">
        <f aca="false">COUNTIFS(Quests!$B$2:$B$3000,A74,Quests!$L$2:$L$3000,B74)</f>
        <v>0</v>
      </c>
    </row>
    <row r="75" customFormat="false" ht="15" hidden="false" customHeight="false" outlineLevel="0" collapsed="false">
      <c r="A75" s="1" t="s">
        <v>277</v>
      </c>
      <c r="B75" s="1" t="n">
        <v>5</v>
      </c>
      <c r="C75" s="1" t="s">
        <v>818</v>
      </c>
      <c r="D75" s="1" t="s">
        <v>1129</v>
      </c>
      <c r="E75" s="1" t="n">
        <v>500</v>
      </c>
      <c r="F75" s="1" t="s">
        <v>959</v>
      </c>
      <c r="G75" s="1" t="n">
        <v>0</v>
      </c>
      <c r="H75" s="1" t="n">
        <f aca="false">IFERROR(G75/E75,0)</f>
        <v>0</v>
      </c>
      <c r="I75" s="20" t="s">
        <v>417</v>
      </c>
      <c r="J75" s="1" t="s">
        <v>1130</v>
      </c>
      <c r="K75" s="1" t="s">
        <v>1131</v>
      </c>
      <c r="N75" s="1" t="s">
        <v>1132</v>
      </c>
      <c r="O75" s="1" t="s">
        <v>385</v>
      </c>
      <c r="P75" s="1" t="s">
        <v>1109</v>
      </c>
      <c r="T75" s="1" t="n">
        <f aca="false">COUNTIFS(Quests!$B$2:$B$3000,A75,Quests!$L$2:$L$3000,B75)</f>
        <v>0</v>
      </c>
    </row>
    <row r="76" customFormat="false" ht="15" hidden="false" customHeight="false" outlineLevel="0" collapsed="false">
      <c r="I76" s="20"/>
    </row>
    <row r="77" customFormat="false" ht="15" hidden="false" customHeight="false" outlineLevel="0" collapsed="false">
      <c r="I77" s="20"/>
    </row>
    <row r="78" customFormat="false" ht="15" hidden="false" customHeight="false" outlineLevel="0" collapsed="false">
      <c r="I78" s="20"/>
    </row>
    <row r="79" customFormat="false" ht="15" hidden="false" customHeight="false" outlineLevel="0" collapsed="false">
      <c r="I79" s="20"/>
    </row>
    <row r="80" customFormat="false" ht="15" hidden="false" customHeight="false" outlineLevel="0" collapsed="false">
      <c r="I80" s="20"/>
    </row>
    <row r="81" customFormat="false" ht="15" hidden="false" customHeight="false" outlineLevel="0" collapsed="false">
      <c r="I81" s="20"/>
    </row>
    <row r="82" customFormat="false" ht="15" hidden="false" customHeight="false" outlineLevel="0" collapsed="false">
      <c r="I82" s="20"/>
    </row>
    <row r="83" customFormat="false" ht="15" hidden="false" customHeight="false" outlineLevel="0" collapsed="false">
      <c r="I83" s="20"/>
    </row>
    <row r="84" customFormat="false" ht="15" hidden="false" customHeight="false" outlineLevel="0" collapsed="false">
      <c r="I84" s="20"/>
    </row>
    <row r="85" customFormat="false" ht="15" hidden="false" customHeight="false" outlineLevel="0" collapsed="false">
      <c r="I85" s="20"/>
    </row>
    <row r="86" customFormat="false" ht="15" hidden="false" customHeight="false" outlineLevel="0" collapsed="false">
      <c r="I86" s="20"/>
    </row>
    <row r="87" customFormat="false" ht="15" hidden="false" customHeight="false" outlineLevel="0" collapsed="false">
      <c r="I87" s="20"/>
    </row>
    <row r="88" customFormat="false" ht="15" hidden="false" customHeight="false" outlineLevel="0" collapsed="false">
      <c r="I88" s="20"/>
    </row>
    <row r="89" customFormat="false" ht="15" hidden="false" customHeight="false" outlineLevel="0" collapsed="false">
      <c r="I89" s="20"/>
    </row>
    <row r="90" customFormat="false" ht="15" hidden="false" customHeight="false" outlineLevel="0" collapsed="false">
      <c r="I90" s="20"/>
    </row>
    <row r="91" customFormat="false" ht="15" hidden="false" customHeight="false" outlineLevel="0" collapsed="false">
      <c r="I91" s="20"/>
    </row>
    <row r="92" customFormat="false" ht="15" hidden="false" customHeight="false" outlineLevel="0" collapsed="false">
      <c r="I92" s="20"/>
    </row>
    <row r="93" customFormat="false" ht="15" hidden="false" customHeight="false" outlineLevel="0" collapsed="false">
      <c r="I93" s="20"/>
    </row>
    <row r="94" customFormat="false" ht="15" hidden="false" customHeight="false" outlineLevel="0" collapsed="false">
      <c r="I94" s="20"/>
    </row>
    <row r="95" customFormat="false" ht="15" hidden="false" customHeight="false" outlineLevel="0" collapsed="false">
      <c r="I95" s="20"/>
    </row>
    <row r="96" customFormat="false" ht="15" hidden="false" customHeight="false" outlineLevel="0" collapsed="false">
      <c r="I96" s="20"/>
    </row>
    <row r="97" customFormat="false" ht="15" hidden="false" customHeight="false" outlineLevel="0" collapsed="false">
      <c r="I97" s="20"/>
    </row>
    <row r="98" customFormat="false" ht="15" hidden="false" customHeight="false" outlineLevel="0" collapsed="false">
      <c r="I98" s="20"/>
    </row>
    <row r="99" customFormat="false" ht="15" hidden="false" customHeight="false" outlineLevel="0" collapsed="false">
      <c r="I99" s="20"/>
    </row>
    <row r="100" customFormat="false" ht="15" hidden="false" customHeight="false" outlineLevel="0" collapsed="false">
      <c r="I100" s="20"/>
    </row>
    <row r="101" customFormat="false" ht="15" hidden="false" customHeight="false" outlineLevel="0" collapsed="false">
      <c r="I101" s="20"/>
    </row>
    <row r="102" customFormat="false" ht="15" hidden="false" customHeight="false" outlineLevel="0" collapsed="false">
      <c r="I102" s="20"/>
    </row>
    <row r="103" customFormat="false" ht="15" hidden="false" customHeight="false" outlineLevel="0" collapsed="false">
      <c r="I103" s="20"/>
    </row>
    <row r="104" customFormat="false" ht="15" hidden="false" customHeight="false" outlineLevel="0" collapsed="false">
      <c r="I104" s="20"/>
    </row>
    <row r="105" customFormat="false" ht="15" hidden="false" customHeight="false" outlineLevel="0" collapsed="false">
      <c r="I105" s="20"/>
    </row>
    <row r="106" customFormat="false" ht="15" hidden="false" customHeight="false" outlineLevel="0" collapsed="false">
      <c r="I106" s="20"/>
    </row>
    <row r="107" customFormat="false" ht="15" hidden="false" customHeight="false" outlineLevel="0" collapsed="false">
      <c r="I107" s="20"/>
    </row>
    <row r="108" customFormat="false" ht="15" hidden="false" customHeight="false" outlineLevel="0" collapsed="false">
      <c r="I108" s="20"/>
    </row>
    <row r="109" customFormat="false" ht="15" hidden="false" customHeight="false" outlineLevel="0" collapsed="false">
      <c r="I109" s="20"/>
    </row>
    <row r="110" customFormat="false" ht="15" hidden="false" customHeight="false" outlineLevel="0" collapsed="false">
      <c r="I110" s="20"/>
    </row>
    <row r="111" customFormat="false" ht="15" hidden="false" customHeight="false" outlineLevel="0" collapsed="false">
      <c r="I111" s="20"/>
    </row>
    <row r="112" customFormat="false" ht="15" hidden="false" customHeight="false" outlineLevel="0" collapsed="false">
      <c r="I112" s="20"/>
    </row>
    <row r="113" customFormat="false" ht="15" hidden="false" customHeight="false" outlineLevel="0" collapsed="false">
      <c r="I113" s="20"/>
    </row>
    <row r="114" customFormat="false" ht="15" hidden="false" customHeight="false" outlineLevel="0" collapsed="false">
      <c r="I114" s="20"/>
    </row>
    <row r="115" customFormat="false" ht="15" hidden="false" customHeight="false" outlineLevel="0" collapsed="false">
      <c r="I115" s="20"/>
    </row>
    <row r="116" customFormat="false" ht="15" hidden="false" customHeight="false" outlineLevel="0" collapsed="false">
      <c r="I116" s="20"/>
    </row>
    <row r="117" customFormat="false" ht="15" hidden="false" customHeight="false" outlineLevel="0" collapsed="false">
      <c r="I117" s="20"/>
    </row>
    <row r="118" customFormat="false" ht="15" hidden="false" customHeight="false" outlineLevel="0" collapsed="false">
      <c r="I118" s="20"/>
    </row>
    <row r="119" customFormat="false" ht="15" hidden="false" customHeight="false" outlineLevel="0" collapsed="false">
      <c r="I119" s="20"/>
    </row>
    <row r="120" customFormat="false" ht="15" hidden="false" customHeight="false" outlineLevel="0" collapsed="false">
      <c r="I120" s="20"/>
    </row>
    <row r="121" customFormat="false" ht="15" hidden="false" customHeight="false" outlineLevel="0" collapsed="false">
      <c r="I121" s="20"/>
    </row>
    <row r="122" customFormat="false" ht="15" hidden="false" customHeight="false" outlineLevel="0" collapsed="false">
      <c r="I122" s="20"/>
    </row>
    <row r="123" customFormat="false" ht="15" hidden="false" customHeight="false" outlineLevel="0" collapsed="false">
      <c r="I123" s="20"/>
    </row>
    <row r="124" customFormat="false" ht="15" hidden="false" customHeight="false" outlineLevel="0" collapsed="false">
      <c r="I124" s="20"/>
    </row>
    <row r="125" customFormat="false" ht="15" hidden="false" customHeight="false" outlineLevel="0" collapsed="false">
      <c r="I125" s="20"/>
    </row>
    <row r="126" customFormat="false" ht="15" hidden="false" customHeight="false" outlineLevel="0" collapsed="false">
      <c r="I126" s="20"/>
    </row>
    <row r="127" customFormat="false" ht="15" hidden="false" customHeight="false" outlineLevel="0" collapsed="false">
      <c r="I127" s="20"/>
    </row>
    <row r="128" customFormat="false" ht="15" hidden="false" customHeight="false" outlineLevel="0" collapsed="false">
      <c r="I128" s="20"/>
    </row>
    <row r="129" customFormat="false" ht="15" hidden="false" customHeight="false" outlineLevel="0" collapsed="false">
      <c r="I129" s="20"/>
    </row>
    <row r="130" customFormat="false" ht="15" hidden="false" customHeight="false" outlineLevel="0" collapsed="false">
      <c r="I130" s="20"/>
    </row>
    <row r="131" customFormat="false" ht="15" hidden="false" customHeight="false" outlineLevel="0" collapsed="false">
      <c r="I131" s="20"/>
    </row>
    <row r="132" customFormat="false" ht="15" hidden="false" customHeight="false" outlineLevel="0" collapsed="false">
      <c r="I132" s="20"/>
    </row>
    <row r="133" customFormat="false" ht="15" hidden="false" customHeight="false" outlineLevel="0" collapsed="false">
      <c r="I133" s="20"/>
    </row>
    <row r="134" customFormat="false" ht="15" hidden="false" customHeight="false" outlineLevel="0" collapsed="false">
      <c r="I134" s="20"/>
    </row>
    <row r="135" customFormat="false" ht="15" hidden="false" customHeight="false" outlineLevel="0" collapsed="false">
      <c r="I135" s="20"/>
    </row>
    <row r="136" customFormat="false" ht="15" hidden="false" customHeight="false" outlineLevel="0" collapsed="false">
      <c r="I136" s="20"/>
    </row>
    <row r="137" customFormat="false" ht="15" hidden="false" customHeight="false" outlineLevel="0" collapsed="false">
      <c r="I137" s="20"/>
    </row>
    <row r="138" customFormat="false" ht="15" hidden="false" customHeight="false" outlineLevel="0" collapsed="false">
      <c r="I138" s="20"/>
    </row>
    <row r="139" customFormat="false" ht="15" hidden="false" customHeight="false" outlineLevel="0" collapsed="false">
      <c r="I139" s="20"/>
    </row>
    <row r="140" customFormat="false" ht="15" hidden="false" customHeight="false" outlineLevel="0" collapsed="false">
      <c r="I140" s="20"/>
    </row>
    <row r="141" customFormat="false" ht="15" hidden="false" customHeight="false" outlineLevel="0" collapsed="false">
      <c r="I141" s="20"/>
    </row>
    <row r="142" customFormat="false" ht="15" hidden="false" customHeight="false" outlineLevel="0" collapsed="false">
      <c r="I142" s="20"/>
    </row>
    <row r="143" customFormat="false" ht="15" hidden="false" customHeight="false" outlineLevel="0" collapsed="false">
      <c r="I143" s="20"/>
    </row>
    <row r="144" customFormat="false" ht="15" hidden="false" customHeight="false" outlineLevel="0" collapsed="false">
      <c r="I144" s="20"/>
    </row>
    <row r="145" customFormat="false" ht="15" hidden="false" customHeight="false" outlineLevel="0" collapsed="false">
      <c r="I145" s="20"/>
    </row>
    <row r="146" customFormat="false" ht="15" hidden="false" customHeight="false" outlineLevel="0" collapsed="false">
      <c r="I146" s="20"/>
    </row>
    <row r="147" customFormat="false" ht="15" hidden="false" customHeight="false" outlineLevel="0" collapsed="false">
      <c r="I147" s="20"/>
    </row>
    <row r="148" customFormat="false" ht="15" hidden="false" customHeight="false" outlineLevel="0" collapsed="false">
      <c r="I148" s="20"/>
    </row>
    <row r="149" customFormat="false" ht="15" hidden="false" customHeight="false" outlineLevel="0" collapsed="false">
      <c r="I149" s="20"/>
    </row>
    <row r="150" customFormat="false" ht="15" hidden="false" customHeight="false" outlineLevel="0" collapsed="false">
      <c r="I150" s="20"/>
    </row>
    <row r="151" customFormat="false" ht="15" hidden="false" customHeight="false" outlineLevel="0" collapsed="false">
      <c r="I151" s="20"/>
    </row>
    <row r="152" customFormat="false" ht="15" hidden="false" customHeight="false" outlineLevel="0" collapsed="false">
      <c r="I152" s="20"/>
    </row>
    <row r="153" customFormat="false" ht="15" hidden="false" customHeight="false" outlineLevel="0" collapsed="false">
      <c r="I153" s="20"/>
    </row>
    <row r="154" customFormat="false" ht="15" hidden="false" customHeight="false" outlineLevel="0" collapsed="false">
      <c r="I154" s="20"/>
    </row>
    <row r="155" customFormat="false" ht="15" hidden="false" customHeight="false" outlineLevel="0" collapsed="false">
      <c r="I155" s="20"/>
    </row>
    <row r="156" customFormat="false" ht="15" hidden="false" customHeight="false" outlineLevel="0" collapsed="false">
      <c r="I156" s="20"/>
    </row>
    <row r="157" customFormat="false" ht="15" hidden="false" customHeight="false" outlineLevel="0" collapsed="false">
      <c r="I157" s="20"/>
    </row>
    <row r="158" customFormat="false" ht="15" hidden="false" customHeight="false" outlineLevel="0" collapsed="false">
      <c r="I158" s="20"/>
    </row>
    <row r="159" customFormat="false" ht="15" hidden="false" customHeight="false" outlineLevel="0" collapsed="false">
      <c r="I159" s="20"/>
    </row>
    <row r="160" customFormat="false" ht="15" hidden="false" customHeight="false" outlineLevel="0" collapsed="false">
      <c r="I160" s="20"/>
    </row>
    <row r="161" customFormat="false" ht="15" hidden="false" customHeight="false" outlineLevel="0" collapsed="false">
      <c r="I161" s="20"/>
    </row>
    <row r="162" customFormat="false" ht="15" hidden="false" customHeight="false" outlineLevel="0" collapsed="false">
      <c r="I162" s="20"/>
    </row>
    <row r="163" customFormat="false" ht="15" hidden="false" customHeight="false" outlineLevel="0" collapsed="false">
      <c r="I163" s="20"/>
    </row>
    <row r="164" customFormat="false" ht="15" hidden="false" customHeight="false" outlineLevel="0" collapsed="false">
      <c r="I164" s="20"/>
    </row>
    <row r="165" customFormat="false" ht="15" hidden="false" customHeight="false" outlineLevel="0" collapsed="false">
      <c r="I165" s="20"/>
    </row>
    <row r="166" customFormat="false" ht="15" hidden="false" customHeight="false" outlineLevel="0" collapsed="false">
      <c r="I166" s="20"/>
    </row>
    <row r="167" customFormat="false" ht="15" hidden="false" customHeight="false" outlineLevel="0" collapsed="false">
      <c r="I167" s="20"/>
    </row>
    <row r="168" customFormat="false" ht="15" hidden="false" customHeight="false" outlineLevel="0" collapsed="false">
      <c r="I168" s="20"/>
    </row>
    <row r="169" customFormat="false" ht="15" hidden="false" customHeight="false" outlineLevel="0" collapsed="false">
      <c r="I169" s="20"/>
    </row>
    <row r="170" customFormat="false" ht="15" hidden="false" customHeight="false" outlineLevel="0" collapsed="false">
      <c r="I170" s="20"/>
    </row>
    <row r="171" customFormat="false" ht="15" hidden="false" customHeight="false" outlineLevel="0" collapsed="false">
      <c r="I171" s="20"/>
    </row>
    <row r="172" customFormat="false" ht="15" hidden="false" customHeight="false" outlineLevel="0" collapsed="false">
      <c r="I172" s="20"/>
    </row>
    <row r="173" customFormat="false" ht="15" hidden="false" customHeight="false" outlineLevel="0" collapsed="false">
      <c r="I173" s="20"/>
    </row>
    <row r="174" customFormat="false" ht="15" hidden="false" customHeight="false" outlineLevel="0" collapsed="false">
      <c r="I174" s="20"/>
    </row>
    <row r="175" customFormat="false" ht="15" hidden="false" customHeight="false" outlineLevel="0" collapsed="false">
      <c r="I175" s="20"/>
    </row>
    <row r="176" customFormat="false" ht="15" hidden="false" customHeight="false" outlineLevel="0" collapsed="false">
      <c r="I176" s="20"/>
    </row>
    <row r="177" customFormat="false" ht="15" hidden="false" customHeight="false" outlineLevel="0" collapsed="false">
      <c r="I177" s="20"/>
    </row>
    <row r="178" customFormat="false" ht="15" hidden="false" customHeight="false" outlineLevel="0" collapsed="false">
      <c r="I178" s="20"/>
    </row>
    <row r="179" customFormat="false" ht="15" hidden="false" customHeight="false" outlineLevel="0" collapsed="false">
      <c r="I179" s="20"/>
    </row>
    <row r="180" customFormat="false" ht="15" hidden="false" customHeight="false" outlineLevel="0" collapsed="false">
      <c r="I180" s="20"/>
    </row>
    <row r="181" customFormat="false" ht="15" hidden="false" customHeight="false" outlineLevel="0" collapsed="false">
      <c r="I181" s="20"/>
    </row>
    <row r="182" customFormat="false" ht="15" hidden="false" customHeight="false" outlineLevel="0" collapsed="false">
      <c r="I182" s="20"/>
    </row>
    <row r="183" customFormat="false" ht="15" hidden="false" customHeight="false" outlineLevel="0" collapsed="false">
      <c r="I183" s="20"/>
    </row>
    <row r="184" customFormat="false" ht="15" hidden="false" customHeight="false" outlineLevel="0" collapsed="false">
      <c r="I184" s="20"/>
    </row>
    <row r="185" customFormat="false" ht="15" hidden="false" customHeight="false" outlineLevel="0" collapsed="false">
      <c r="I185" s="20"/>
    </row>
    <row r="186" customFormat="false" ht="15" hidden="false" customHeight="false" outlineLevel="0" collapsed="false">
      <c r="I186" s="20"/>
    </row>
    <row r="187" customFormat="false" ht="15" hidden="false" customHeight="false" outlineLevel="0" collapsed="false">
      <c r="I187" s="20"/>
    </row>
    <row r="188" customFormat="false" ht="15" hidden="false" customHeight="false" outlineLevel="0" collapsed="false">
      <c r="I188" s="20"/>
    </row>
    <row r="189" customFormat="false" ht="15" hidden="false" customHeight="false" outlineLevel="0" collapsed="false">
      <c r="I189" s="20"/>
    </row>
    <row r="190" customFormat="false" ht="15" hidden="false" customHeight="false" outlineLevel="0" collapsed="false">
      <c r="I190" s="20"/>
    </row>
    <row r="191" customFormat="false" ht="15" hidden="false" customHeight="false" outlineLevel="0" collapsed="false">
      <c r="I191" s="20"/>
    </row>
    <row r="192" customFormat="false" ht="15" hidden="false" customHeight="false" outlineLevel="0" collapsed="false">
      <c r="I192" s="20"/>
    </row>
    <row r="193" customFormat="false" ht="15" hidden="false" customHeight="false" outlineLevel="0" collapsed="false">
      <c r="I193" s="20"/>
    </row>
    <row r="194" customFormat="false" ht="15" hidden="false" customHeight="false" outlineLevel="0" collapsed="false">
      <c r="I194" s="20"/>
    </row>
    <row r="195" customFormat="false" ht="15" hidden="false" customHeight="false" outlineLevel="0" collapsed="false">
      <c r="I195" s="20"/>
    </row>
    <row r="196" customFormat="false" ht="15" hidden="false" customHeight="false" outlineLevel="0" collapsed="false">
      <c r="I196" s="20"/>
    </row>
    <row r="197" customFormat="false" ht="15" hidden="false" customHeight="false" outlineLevel="0" collapsed="false">
      <c r="I197" s="20"/>
    </row>
    <row r="198" customFormat="false" ht="15" hidden="false" customHeight="false" outlineLevel="0" collapsed="false">
      <c r="I198" s="20"/>
    </row>
    <row r="199" customFormat="false" ht="15" hidden="false" customHeight="false" outlineLevel="0" collapsed="false">
      <c r="I199" s="20"/>
    </row>
    <row r="200" customFormat="false" ht="15" hidden="false" customHeight="false" outlineLevel="0" collapsed="false">
      <c r="I200" s="20"/>
    </row>
    <row r="201" customFormat="false" ht="15" hidden="false" customHeight="false" outlineLevel="0" collapsed="false">
      <c r="I201" s="20"/>
    </row>
    <row r="202" customFormat="false" ht="15" hidden="false" customHeight="false" outlineLevel="0" collapsed="false">
      <c r="I202" s="20"/>
    </row>
    <row r="203" customFormat="false" ht="15" hidden="false" customHeight="false" outlineLevel="0" collapsed="false">
      <c r="I203" s="20"/>
    </row>
    <row r="204" customFormat="false" ht="15" hidden="false" customHeight="false" outlineLevel="0" collapsed="false">
      <c r="I204" s="20"/>
    </row>
    <row r="205" customFormat="false" ht="15" hidden="false" customHeight="false" outlineLevel="0" collapsed="false">
      <c r="I205" s="20"/>
    </row>
    <row r="206" customFormat="false" ht="15" hidden="false" customHeight="false" outlineLevel="0" collapsed="false">
      <c r="I206" s="20"/>
    </row>
    <row r="207" customFormat="false" ht="15" hidden="false" customHeight="false" outlineLevel="0" collapsed="false">
      <c r="I207" s="20"/>
    </row>
    <row r="208" customFormat="false" ht="15" hidden="false" customHeight="false" outlineLevel="0" collapsed="false">
      <c r="I208" s="20"/>
    </row>
    <row r="209" customFormat="false" ht="15" hidden="false" customHeight="false" outlineLevel="0" collapsed="false">
      <c r="I209" s="20"/>
    </row>
    <row r="210" customFormat="false" ht="15" hidden="false" customHeight="false" outlineLevel="0" collapsed="false">
      <c r="I210" s="20"/>
    </row>
    <row r="211" customFormat="false" ht="15" hidden="false" customHeight="false" outlineLevel="0" collapsed="false">
      <c r="I211" s="20"/>
    </row>
    <row r="212" customFormat="false" ht="15" hidden="false" customHeight="false" outlineLevel="0" collapsed="false">
      <c r="I212" s="20"/>
    </row>
    <row r="213" customFormat="false" ht="15" hidden="false" customHeight="false" outlineLevel="0" collapsed="false">
      <c r="I213" s="20"/>
    </row>
    <row r="214" customFormat="false" ht="15" hidden="false" customHeight="false" outlineLevel="0" collapsed="false">
      <c r="I214" s="20"/>
    </row>
    <row r="215" customFormat="false" ht="15" hidden="false" customHeight="false" outlineLevel="0" collapsed="false">
      <c r="I215" s="20"/>
    </row>
    <row r="216" customFormat="false" ht="15" hidden="false" customHeight="false" outlineLevel="0" collapsed="false">
      <c r="I216" s="20"/>
    </row>
    <row r="217" customFormat="false" ht="15" hidden="false" customHeight="false" outlineLevel="0" collapsed="false">
      <c r="I217" s="20"/>
    </row>
    <row r="218" customFormat="false" ht="15" hidden="false" customHeight="false" outlineLevel="0" collapsed="false">
      <c r="I218" s="20"/>
    </row>
    <row r="219" customFormat="false" ht="15" hidden="false" customHeight="false" outlineLevel="0" collapsed="false">
      <c r="I219" s="20"/>
    </row>
    <row r="220" customFormat="false" ht="15" hidden="false" customHeight="false" outlineLevel="0" collapsed="false">
      <c r="I220" s="20"/>
    </row>
    <row r="221" customFormat="false" ht="15" hidden="false" customHeight="false" outlineLevel="0" collapsed="false">
      <c r="I221" s="20"/>
    </row>
    <row r="222" customFormat="false" ht="15" hidden="false" customHeight="false" outlineLevel="0" collapsed="false">
      <c r="I222" s="20"/>
    </row>
    <row r="223" customFormat="false" ht="15" hidden="false" customHeight="false" outlineLevel="0" collapsed="false">
      <c r="I223" s="20"/>
    </row>
    <row r="224" customFormat="false" ht="15" hidden="false" customHeight="false" outlineLevel="0" collapsed="false">
      <c r="I224" s="20"/>
    </row>
    <row r="225" customFormat="false" ht="15" hidden="false" customHeight="false" outlineLevel="0" collapsed="false">
      <c r="I225" s="20"/>
    </row>
    <row r="226" customFormat="false" ht="15" hidden="false" customHeight="false" outlineLevel="0" collapsed="false">
      <c r="I226" s="20"/>
    </row>
    <row r="227" customFormat="false" ht="15" hidden="false" customHeight="false" outlineLevel="0" collapsed="false">
      <c r="I227" s="20"/>
    </row>
    <row r="228" customFormat="false" ht="15" hidden="false" customHeight="false" outlineLevel="0" collapsed="false">
      <c r="I228" s="20"/>
    </row>
    <row r="229" customFormat="false" ht="15" hidden="false" customHeight="false" outlineLevel="0" collapsed="false">
      <c r="I229" s="20"/>
    </row>
    <row r="230" customFormat="false" ht="15" hidden="false" customHeight="false" outlineLevel="0" collapsed="false">
      <c r="I230" s="20"/>
    </row>
    <row r="231" customFormat="false" ht="15" hidden="false" customHeight="false" outlineLevel="0" collapsed="false">
      <c r="I231" s="20"/>
    </row>
    <row r="232" customFormat="false" ht="15" hidden="false" customHeight="false" outlineLevel="0" collapsed="false">
      <c r="I232" s="20"/>
    </row>
    <row r="233" customFormat="false" ht="15" hidden="false" customHeight="false" outlineLevel="0" collapsed="false">
      <c r="I233" s="20"/>
    </row>
    <row r="234" customFormat="false" ht="15" hidden="false" customHeight="false" outlineLevel="0" collapsed="false">
      <c r="I234" s="20"/>
    </row>
    <row r="235" customFormat="false" ht="15" hidden="false" customHeight="false" outlineLevel="0" collapsed="false">
      <c r="I235" s="20"/>
    </row>
    <row r="236" customFormat="false" ht="15" hidden="false" customHeight="false" outlineLevel="0" collapsed="false">
      <c r="I236" s="20"/>
    </row>
    <row r="237" customFormat="false" ht="15" hidden="false" customHeight="false" outlineLevel="0" collapsed="false">
      <c r="I237" s="20"/>
    </row>
    <row r="238" customFormat="false" ht="15" hidden="false" customHeight="false" outlineLevel="0" collapsed="false">
      <c r="I238" s="20"/>
    </row>
    <row r="239" customFormat="false" ht="15" hidden="false" customHeight="false" outlineLevel="0" collapsed="false">
      <c r="I239" s="20"/>
    </row>
    <row r="240" customFormat="false" ht="15" hidden="false" customHeight="false" outlineLevel="0" collapsed="false">
      <c r="I240" s="20"/>
    </row>
    <row r="241" customFormat="false" ht="15" hidden="false" customHeight="false" outlineLevel="0" collapsed="false">
      <c r="I241" s="20"/>
    </row>
    <row r="242" customFormat="false" ht="15" hidden="false" customHeight="false" outlineLevel="0" collapsed="false">
      <c r="I242" s="20"/>
    </row>
    <row r="243" customFormat="false" ht="15" hidden="false" customHeight="false" outlineLevel="0" collapsed="false">
      <c r="I243" s="20"/>
    </row>
    <row r="244" customFormat="false" ht="15" hidden="false" customHeight="false" outlineLevel="0" collapsed="false">
      <c r="I244" s="20"/>
    </row>
    <row r="245" customFormat="false" ht="15" hidden="false" customHeight="false" outlineLevel="0" collapsed="false">
      <c r="I245" s="20"/>
    </row>
    <row r="246" customFormat="false" ht="15" hidden="false" customHeight="false" outlineLevel="0" collapsed="false">
      <c r="I246" s="20"/>
    </row>
    <row r="247" customFormat="false" ht="15" hidden="false" customHeight="false" outlineLevel="0" collapsed="false">
      <c r="I247" s="20"/>
    </row>
    <row r="248" customFormat="false" ht="15" hidden="false" customHeight="false" outlineLevel="0" collapsed="false">
      <c r="I248" s="20"/>
    </row>
    <row r="249" customFormat="false" ht="15" hidden="false" customHeight="false" outlineLevel="0" collapsed="false">
      <c r="I249" s="20"/>
    </row>
    <row r="250" customFormat="false" ht="15" hidden="false" customHeight="false" outlineLevel="0" collapsed="false">
      <c r="I250" s="20"/>
    </row>
    <row r="251" customFormat="false" ht="15" hidden="false" customHeight="false" outlineLevel="0" collapsed="false">
      <c r="I251" s="20"/>
    </row>
    <row r="252" customFormat="false" ht="15" hidden="false" customHeight="false" outlineLevel="0" collapsed="false">
      <c r="I252" s="20"/>
    </row>
    <row r="253" customFormat="false" ht="15" hidden="false" customHeight="false" outlineLevel="0" collapsed="false">
      <c r="I253" s="20"/>
    </row>
    <row r="254" customFormat="false" ht="15" hidden="false" customHeight="false" outlineLevel="0" collapsed="false">
      <c r="I254" s="20"/>
    </row>
    <row r="255" customFormat="false" ht="15" hidden="false" customHeight="false" outlineLevel="0" collapsed="false">
      <c r="I255" s="20"/>
    </row>
    <row r="256" customFormat="false" ht="15" hidden="false" customHeight="false" outlineLevel="0" collapsed="false">
      <c r="I256" s="20"/>
    </row>
    <row r="257" customFormat="false" ht="15" hidden="false" customHeight="false" outlineLevel="0" collapsed="false">
      <c r="I257" s="20"/>
    </row>
    <row r="258" customFormat="false" ht="15" hidden="false" customHeight="false" outlineLevel="0" collapsed="false">
      <c r="I258" s="20"/>
    </row>
    <row r="259" customFormat="false" ht="15" hidden="false" customHeight="false" outlineLevel="0" collapsed="false">
      <c r="I259" s="20"/>
    </row>
    <row r="260" customFormat="false" ht="15" hidden="false" customHeight="false" outlineLevel="0" collapsed="false">
      <c r="I260" s="20"/>
    </row>
    <row r="261" customFormat="false" ht="15" hidden="false" customHeight="false" outlineLevel="0" collapsed="false">
      <c r="I261" s="20"/>
    </row>
    <row r="262" customFormat="false" ht="15" hidden="false" customHeight="false" outlineLevel="0" collapsed="false">
      <c r="I262" s="20"/>
    </row>
    <row r="263" customFormat="false" ht="15" hidden="false" customHeight="false" outlineLevel="0" collapsed="false">
      <c r="I263" s="20"/>
    </row>
    <row r="264" customFormat="false" ht="15" hidden="false" customHeight="false" outlineLevel="0" collapsed="false">
      <c r="I264" s="20"/>
    </row>
    <row r="265" customFormat="false" ht="15" hidden="false" customHeight="false" outlineLevel="0" collapsed="false">
      <c r="I265" s="20"/>
    </row>
    <row r="266" customFormat="false" ht="15" hidden="false" customHeight="false" outlineLevel="0" collapsed="false">
      <c r="I266" s="20"/>
    </row>
    <row r="267" customFormat="false" ht="15" hidden="false" customHeight="false" outlineLevel="0" collapsed="false">
      <c r="I267" s="20"/>
    </row>
    <row r="268" customFormat="false" ht="15" hidden="false" customHeight="false" outlineLevel="0" collapsed="false">
      <c r="I268" s="20"/>
    </row>
    <row r="269" customFormat="false" ht="15" hidden="false" customHeight="false" outlineLevel="0" collapsed="false">
      <c r="I269" s="20"/>
    </row>
    <row r="270" customFormat="false" ht="15" hidden="false" customHeight="false" outlineLevel="0" collapsed="false">
      <c r="I270" s="20"/>
    </row>
    <row r="271" customFormat="false" ht="15" hidden="false" customHeight="false" outlineLevel="0" collapsed="false">
      <c r="I271" s="20"/>
    </row>
    <row r="272" customFormat="false" ht="15" hidden="false" customHeight="false" outlineLevel="0" collapsed="false">
      <c r="I272" s="20"/>
    </row>
    <row r="273" customFormat="false" ht="15" hidden="false" customHeight="false" outlineLevel="0" collapsed="false">
      <c r="I273" s="20"/>
    </row>
    <row r="274" customFormat="false" ht="15" hidden="false" customHeight="false" outlineLevel="0" collapsed="false">
      <c r="I274" s="20"/>
    </row>
    <row r="275" customFormat="false" ht="15" hidden="false" customHeight="false" outlineLevel="0" collapsed="false">
      <c r="I275" s="20"/>
    </row>
    <row r="276" customFormat="false" ht="15" hidden="false" customHeight="false" outlineLevel="0" collapsed="false">
      <c r="I276" s="20"/>
    </row>
    <row r="277" customFormat="false" ht="15" hidden="false" customHeight="false" outlineLevel="0" collapsed="false">
      <c r="I277" s="20"/>
    </row>
    <row r="278" customFormat="false" ht="15" hidden="false" customHeight="false" outlineLevel="0" collapsed="false">
      <c r="I278" s="20"/>
    </row>
    <row r="279" customFormat="false" ht="15" hidden="false" customHeight="false" outlineLevel="0" collapsed="false">
      <c r="I279" s="20"/>
    </row>
    <row r="280" customFormat="false" ht="15" hidden="false" customHeight="false" outlineLevel="0" collapsed="false">
      <c r="I280" s="20"/>
    </row>
    <row r="281" customFormat="false" ht="15" hidden="false" customHeight="false" outlineLevel="0" collapsed="false">
      <c r="I281" s="20"/>
    </row>
    <row r="282" customFormat="false" ht="15" hidden="false" customHeight="false" outlineLevel="0" collapsed="false">
      <c r="I282" s="20"/>
    </row>
    <row r="283" customFormat="false" ht="15" hidden="false" customHeight="false" outlineLevel="0" collapsed="false">
      <c r="I283" s="20"/>
    </row>
    <row r="284" customFormat="false" ht="15" hidden="false" customHeight="false" outlineLevel="0" collapsed="false">
      <c r="I284" s="20"/>
    </row>
    <row r="285" customFormat="false" ht="15" hidden="false" customHeight="false" outlineLevel="0" collapsed="false">
      <c r="I285" s="20"/>
    </row>
    <row r="286" customFormat="false" ht="15" hidden="false" customHeight="false" outlineLevel="0" collapsed="false">
      <c r="I286" s="20"/>
    </row>
    <row r="287" customFormat="false" ht="15" hidden="false" customHeight="false" outlineLevel="0" collapsed="false">
      <c r="I287" s="20"/>
    </row>
    <row r="288" customFormat="false" ht="15" hidden="false" customHeight="false" outlineLevel="0" collapsed="false">
      <c r="I288" s="20"/>
    </row>
    <row r="289" customFormat="false" ht="15" hidden="false" customHeight="false" outlineLevel="0" collapsed="false">
      <c r="I289" s="20"/>
    </row>
    <row r="290" customFormat="false" ht="15" hidden="false" customHeight="false" outlineLevel="0" collapsed="false">
      <c r="I290" s="20"/>
    </row>
    <row r="291" customFormat="false" ht="15" hidden="false" customHeight="false" outlineLevel="0" collapsed="false">
      <c r="I291" s="20"/>
    </row>
    <row r="292" customFormat="false" ht="15" hidden="false" customHeight="false" outlineLevel="0" collapsed="false">
      <c r="I292" s="20"/>
    </row>
    <row r="293" customFormat="false" ht="15" hidden="false" customHeight="false" outlineLevel="0" collapsed="false">
      <c r="I293" s="20"/>
    </row>
    <row r="294" customFormat="false" ht="15" hidden="false" customHeight="false" outlineLevel="0" collapsed="false">
      <c r="I294" s="20"/>
    </row>
    <row r="295" customFormat="false" ht="15" hidden="false" customHeight="false" outlineLevel="0" collapsed="false">
      <c r="I295" s="20"/>
    </row>
    <row r="296" customFormat="false" ht="15" hidden="false" customHeight="false" outlineLevel="0" collapsed="false">
      <c r="I296" s="20"/>
    </row>
    <row r="297" customFormat="false" ht="15" hidden="false" customHeight="false" outlineLevel="0" collapsed="false">
      <c r="I297" s="20"/>
    </row>
    <row r="298" customFormat="false" ht="15" hidden="false" customHeight="false" outlineLevel="0" collapsed="false">
      <c r="I298" s="20"/>
    </row>
    <row r="299" customFormat="false" ht="15" hidden="false" customHeight="false" outlineLevel="0" collapsed="false">
      <c r="I299" s="20"/>
    </row>
    <row r="300" customFormat="false" ht="15" hidden="false" customHeight="false" outlineLevel="0" collapsed="false">
      <c r="I300" s="20"/>
    </row>
    <row r="301" customFormat="false" ht="15" hidden="false" customHeight="false" outlineLevel="0" collapsed="false">
      <c r="I301" s="20"/>
    </row>
    <row r="302" customFormat="false" ht="15" hidden="false" customHeight="false" outlineLevel="0" collapsed="false">
      <c r="I302" s="20"/>
    </row>
    <row r="303" customFormat="false" ht="15" hidden="false" customHeight="false" outlineLevel="0" collapsed="false">
      <c r="I303" s="20"/>
    </row>
    <row r="304" customFormat="false" ht="15" hidden="false" customHeight="false" outlineLevel="0" collapsed="false">
      <c r="I304" s="20"/>
    </row>
    <row r="305" customFormat="false" ht="15" hidden="false" customHeight="false" outlineLevel="0" collapsed="false">
      <c r="I305" s="20"/>
    </row>
    <row r="306" customFormat="false" ht="15" hidden="false" customHeight="false" outlineLevel="0" collapsed="false">
      <c r="I306" s="20"/>
    </row>
    <row r="307" customFormat="false" ht="15" hidden="false" customHeight="false" outlineLevel="0" collapsed="false">
      <c r="I307" s="20"/>
    </row>
    <row r="308" customFormat="false" ht="15" hidden="false" customHeight="false" outlineLevel="0" collapsed="false">
      <c r="I308" s="20"/>
    </row>
    <row r="309" customFormat="false" ht="15" hidden="false" customHeight="false" outlineLevel="0" collapsed="false">
      <c r="I309" s="20"/>
    </row>
    <row r="310" customFormat="false" ht="15" hidden="false" customHeight="false" outlineLevel="0" collapsed="false">
      <c r="I310" s="20"/>
    </row>
    <row r="311" customFormat="false" ht="15" hidden="false" customHeight="false" outlineLevel="0" collapsed="false">
      <c r="I311" s="20"/>
    </row>
    <row r="312" customFormat="false" ht="15" hidden="false" customHeight="false" outlineLevel="0" collapsed="false">
      <c r="I312" s="20"/>
    </row>
    <row r="313" customFormat="false" ht="15" hidden="false" customHeight="false" outlineLevel="0" collapsed="false">
      <c r="I313" s="20"/>
    </row>
    <row r="314" customFormat="false" ht="15" hidden="false" customHeight="false" outlineLevel="0" collapsed="false">
      <c r="I314" s="20"/>
    </row>
    <row r="315" customFormat="false" ht="15" hidden="false" customHeight="false" outlineLevel="0" collapsed="false">
      <c r="I315" s="20"/>
    </row>
    <row r="316" customFormat="false" ht="15" hidden="false" customHeight="false" outlineLevel="0" collapsed="false">
      <c r="I316" s="20"/>
    </row>
    <row r="317" customFormat="false" ht="15" hidden="false" customHeight="false" outlineLevel="0" collapsed="false">
      <c r="I317" s="20"/>
    </row>
    <row r="318" customFormat="false" ht="15" hidden="false" customHeight="false" outlineLevel="0" collapsed="false">
      <c r="I318" s="20"/>
    </row>
    <row r="319" customFormat="false" ht="15" hidden="false" customHeight="false" outlineLevel="0" collapsed="false">
      <c r="I319" s="20"/>
    </row>
    <row r="320" customFormat="false" ht="15" hidden="false" customHeight="false" outlineLevel="0" collapsed="false">
      <c r="I320" s="20"/>
    </row>
    <row r="321" customFormat="false" ht="15" hidden="false" customHeight="false" outlineLevel="0" collapsed="false">
      <c r="I321" s="20"/>
    </row>
    <row r="322" customFormat="false" ht="15" hidden="false" customHeight="false" outlineLevel="0" collapsed="false">
      <c r="I322" s="20"/>
    </row>
    <row r="323" customFormat="false" ht="15" hidden="false" customHeight="false" outlineLevel="0" collapsed="false">
      <c r="I323" s="20"/>
    </row>
    <row r="324" customFormat="false" ht="15" hidden="false" customHeight="false" outlineLevel="0" collapsed="false">
      <c r="I324" s="20"/>
    </row>
    <row r="325" customFormat="false" ht="15" hidden="false" customHeight="false" outlineLevel="0" collapsed="false">
      <c r="I325" s="20"/>
    </row>
    <row r="326" customFormat="false" ht="15" hidden="false" customHeight="false" outlineLevel="0" collapsed="false">
      <c r="I326" s="20"/>
    </row>
    <row r="327" customFormat="false" ht="15" hidden="false" customHeight="false" outlineLevel="0" collapsed="false">
      <c r="I327" s="20"/>
    </row>
    <row r="328" customFormat="false" ht="15" hidden="false" customHeight="false" outlineLevel="0" collapsed="false">
      <c r="I328" s="20"/>
    </row>
    <row r="329" customFormat="false" ht="15" hidden="false" customHeight="false" outlineLevel="0" collapsed="false">
      <c r="I329" s="20"/>
    </row>
    <row r="330" customFormat="false" ht="15" hidden="false" customHeight="false" outlineLevel="0" collapsed="false">
      <c r="I330" s="20"/>
    </row>
    <row r="331" customFormat="false" ht="15" hidden="false" customHeight="false" outlineLevel="0" collapsed="false">
      <c r="I331" s="20"/>
    </row>
    <row r="332" customFormat="false" ht="15" hidden="false" customHeight="false" outlineLevel="0" collapsed="false">
      <c r="I332" s="20"/>
    </row>
    <row r="333" customFormat="false" ht="15" hidden="false" customHeight="false" outlineLevel="0" collapsed="false">
      <c r="I333" s="20"/>
    </row>
    <row r="334" customFormat="false" ht="15" hidden="false" customHeight="false" outlineLevel="0" collapsed="false">
      <c r="I334" s="20"/>
    </row>
    <row r="335" customFormat="false" ht="15" hidden="false" customHeight="false" outlineLevel="0" collapsed="false">
      <c r="I335" s="20"/>
    </row>
    <row r="336" customFormat="false" ht="15" hidden="false" customHeight="false" outlineLevel="0" collapsed="false">
      <c r="I336" s="20"/>
    </row>
    <row r="337" customFormat="false" ht="15" hidden="false" customHeight="false" outlineLevel="0" collapsed="false">
      <c r="I337" s="20"/>
    </row>
    <row r="338" customFormat="false" ht="15" hidden="false" customHeight="false" outlineLevel="0" collapsed="false">
      <c r="I338" s="20"/>
    </row>
    <row r="339" customFormat="false" ht="15" hidden="false" customHeight="false" outlineLevel="0" collapsed="false">
      <c r="I339" s="20"/>
    </row>
    <row r="340" customFormat="false" ht="15" hidden="false" customHeight="false" outlineLevel="0" collapsed="false">
      <c r="I340" s="20"/>
    </row>
    <row r="341" customFormat="false" ht="15" hidden="false" customHeight="false" outlineLevel="0" collapsed="false">
      <c r="I341" s="20"/>
    </row>
    <row r="342" customFormat="false" ht="15" hidden="false" customHeight="false" outlineLevel="0" collapsed="false">
      <c r="I342" s="20"/>
    </row>
    <row r="343" customFormat="false" ht="15" hidden="false" customHeight="false" outlineLevel="0" collapsed="false">
      <c r="I343" s="20"/>
    </row>
    <row r="344" customFormat="false" ht="15" hidden="false" customHeight="false" outlineLevel="0" collapsed="false">
      <c r="I344" s="20"/>
    </row>
    <row r="345" customFormat="false" ht="15" hidden="false" customHeight="false" outlineLevel="0" collapsed="false">
      <c r="I345" s="20"/>
    </row>
    <row r="346" customFormat="false" ht="15" hidden="false" customHeight="false" outlineLevel="0" collapsed="false">
      <c r="I346" s="20"/>
    </row>
    <row r="347" customFormat="false" ht="15" hidden="false" customHeight="false" outlineLevel="0" collapsed="false">
      <c r="I347" s="20"/>
    </row>
    <row r="348" customFormat="false" ht="15" hidden="false" customHeight="false" outlineLevel="0" collapsed="false">
      <c r="I348" s="20"/>
    </row>
    <row r="349" customFormat="false" ht="15" hidden="false" customHeight="false" outlineLevel="0" collapsed="false">
      <c r="I349" s="20"/>
    </row>
    <row r="350" customFormat="false" ht="15" hidden="false" customHeight="false" outlineLevel="0" collapsed="false">
      <c r="I350" s="20"/>
    </row>
    <row r="351" customFormat="false" ht="15" hidden="false" customHeight="false" outlineLevel="0" collapsed="false">
      <c r="I351" s="20"/>
    </row>
    <row r="352" customFormat="false" ht="15" hidden="false" customHeight="false" outlineLevel="0" collapsed="false">
      <c r="I352" s="20"/>
    </row>
    <row r="353" customFormat="false" ht="15" hidden="false" customHeight="false" outlineLevel="0" collapsed="false">
      <c r="I353" s="20"/>
    </row>
    <row r="354" customFormat="false" ht="15" hidden="false" customHeight="false" outlineLevel="0" collapsed="false">
      <c r="I354" s="20"/>
    </row>
    <row r="355" customFormat="false" ht="15" hidden="false" customHeight="false" outlineLevel="0" collapsed="false">
      <c r="I355" s="20"/>
    </row>
    <row r="356" customFormat="false" ht="15" hidden="false" customHeight="false" outlineLevel="0" collapsed="false">
      <c r="I356" s="20"/>
    </row>
    <row r="357" customFormat="false" ht="15" hidden="false" customHeight="false" outlineLevel="0" collapsed="false">
      <c r="I357" s="20"/>
    </row>
    <row r="358" customFormat="false" ht="15" hidden="false" customHeight="false" outlineLevel="0" collapsed="false">
      <c r="I358" s="20"/>
    </row>
    <row r="359" customFormat="false" ht="15" hidden="false" customHeight="false" outlineLevel="0" collapsed="false">
      <c r="I359" s="20"/>
    </row>
    <row r="360" customFormat="false" ht="15" hidden="false" customHeight="false" outlineLevel="0" collapsed="false">
      <c r="I360" s="20"/>
    </row>
    <row r="361" customFormat="false" ht="15" hidden="false" customHeight="false" outlineLevel="0" collapsed="false">
      <c r="I361" s="20"/>
    </row>
    <row r="362" customFormat="false" ht="15" hidden="false" customHeight="false" outlineLevel="0" collapsed="false">
      <c r="I362" s="20"/>
    </row>
    <row r="363" customFormat="false" ht="15" hidden="false" customHeight="false" outlineLevel="0" collapsed="false">
      <c r="I363" s="20"/>
    </row>
    <row r="364" customFormat="false" ht="15" hidden="false" customHeight="false" outlineLevel="0" collapsed="false">
      <c r="I364" s="20"/>
    </row>
    <row r="365" customFormat="false" ht="15" hidden="false" customHeight="false" outlineLevel="0" collapsed="false">
      <c r="I365" s="20"/>
    </row>
    <row r="366" customFormat="false" ht="15" hidden="false" customHeight="false" outlineLevel="0" collapsed="false">
      <c r="I366" s="20"/>
    </row>
    <row r="367" customFormat="false" ht="15" hidden="false" customHeight="false" outlineLevel="0" collapsed="false">
      <c r="I367" s="20"/>
    </row>
    <row r="368" customFormat="false" ht="15" hidden="false" customHeight="false" outlineLevel="0" collapsed="false">
      <c r="I368" s="20"/>
    </row>
    <row r="369" customFormat="false" ht="15" hidden="false" customHeight="false" outlineLevel="0" collapsed="false">
      <c r="I369" s="20"/>
    </row>
    <row r="370" customFormat="false" ht="15" hidden="false" customHeight="false" outlineLevel="0" collapsed="false">
      <c r="I370" s="20"/>
    </row>
    <row r="371" customFormat="false" ht="15" hidden="false" customHeight="false" outlineLevel="0" collapsed="false">
      <c r="I371" s="20"/>
    </row>
    <row r="372" customFormat="false" ht="15" hidden="false" customHeight="false" outlineLevel="0" collapsed="false">
      <c r="I372" s="20"/>
    </row>
    <row r="373" customFormat="false" ht="15" hidden="false" customHeight="false" outlineLevel="0" collapsed="false">
      <c r="I373" s="20"/>
    </row>
    <row r="374" customFormat="false" ht="15" hidden="false" customHeight="false" outlineLevel="0" collapsed="false">
      <c r="I374" s="20"/>
    </row>
    <row r="375" customFormat="false" ht="15" hidden="false" customHeight="false" outlineLevel="0" collapsed="false">
      <c r="I375" s="20"/>
    </row>
    <row r="376" customFormat="false" ht="15" hidden="false" customHeight="false" outlineLevel="0" collapsed="false">
      <c r="I376" s="20"/>
    </row>
    <row r="377" customFormat="false" ht="15" hidden="false" customHeight="false" outlineLevel="0" collapsed="false">
      <c r="I377" s="20"/>
    </row>
    <row r="378" customFormat="false" ht="15" hidden="false" customHeight="false" outlineLevel="0" collapsed="false">
      <c r="I378" s="20"/>
    </row>
    <row r="379" customFormat="false" ht="15" hidden="false" customHeight="false" outlineLevel="0" collapsed="false">
      <c r="I379" s="20"/>
    </row>
    <row r="380" customFormat="false" ht="15" hidden="false" customHeight="false" outlineLevel="0" collapsed="false">
      <c r="I380" s="20"/>
    </row>
    <row r="381" customFormat="false" ht="15" hidden="false" customHeight="false" outlineLevel="0" collapsed="false">
      <c r="I381" s="20"/>
    </row>
    <row r="382" customFormat="false" ht="15" hidden="false" customHeight="false" outlineLevel="0" collapsed="false">
      <c r="I382" s="20"/>
    </row>
    <row r="383" customFormat="false" ht="15" hidden="false" customHeight="false" outlineLevel="0" collapsed="false">
      <c r="I383" s="20"/>
    </row>
    <row r="384" customFormat="false" ht="15" hidden="false" customHeight="false" outlineLevel="0" collapsed="false">
      <c r="I384" s="20"/>
    </row>
    <row r="385" customFormat="false" ht="15" hidden="false" customHeight="false" outlineLevel="0" collapsed="false">
      <c r="I385" s="20"/>
    </row>
    <row r="386" customFormat="false" ht="15" hidden="false" customHeight="false" outlineLevel="0" collapsed="false">
      <c r="I386" s="20"/>
    </row>
    <row r="387" customFormat="false" ht="15" hidden="false" customHeight="false" outlineLevel="0" collapsed="false">
      <c r="I387" s="20"/>
    </row>
    <row r="388" customFormat="false" ht="15" hidden="false" customHeight="false" outlineLevel="0" collapsed="false">
      <c r="I388" s="20"/>
    </row>
    <row r="389" customFormat="false" ht="15" hidden="false" customHeight="false" outlineLevel="0" collapsed="false">
      <c r="I389" s="20"/>
    </row>
    <row r="390" customFormat="false" ht="15" hidden="false" customHeight="false" outlineLevel="0" collapsed="false">
      <c r="I390" s="20"/>
    </row>
    <row r="391" customFormat="false" ht="15" hidden="false" customHeight="false" outlineLevel="0" collapsed="false">
      <c r="I391" s="20"/>
    </row>
    <row r="392" customFormat="false" ht="15" hidden="false" customHeight="false" outlineLevel="0" collapsed="false">
      <c r="I392" s="20"/>
    </row>
    <row r="393" customFormat="false" ht="15" hidden="false" customHeight="false" outlineLevel="0" collapsed="false">
      <c r="I393" s="20"/>
    </row>
    <row r="394" customFormat="false" ht="15" hidden="false" customHeight="false" outlineLevel="0" collapsed="false">
      <c r="I394" s="20"/>
    </row>
    <row r="395" customFormat="false" ht="15" hidden="false" customHeight="false" outlineLevel="0" collapsed="false">
      <c r="I395" s="20"/>
    </row>
    <row r="396" customFormat="false" ht="15" hidden="false" customHeight="false" outlineLevel="0" collapsed="false">
      <c r="I396" s="20"/>
    </row>
    <row r="397" customFormat="false" ht="15" hidden="false" customHeight="false" outlineLevel="0" collapsed="false">
      <c r="I397" s="20"/>
    </row>
    <row r="398" customFormat="false" ht="15" hidden="false" customHeight="false" outlineLevel="0" collapsed="false">
      <c r="I398" s="20"/>
    </row>
    <row r="399" customFormat="false" ht="15" hidden="false" customHeight="false" outlineLevel="0" collapsed="false">
      <c r="I399" s="20"/>
    </row>
    <row r="400" customFormat="false" ht="15" hidden="false" customHeight="false" outlineLevel="0" collapsed="false">
      <c r="I400" s="20"/>
    </row>
    <row r="401" customFormat="false" ht="15" hidden="false" customHeight="false" outlineLevel="0" collapsed="false">
      <c r="I401" s="20"/>
    </row>
    <row r="402" customFormat="false" ht="15" hidden="false" customHeight="false" outlineLevel="0" collapsed="false">
      <c r="I402" s="20"/>
    </row>
    <row r="403" customFormat="false" ht="15" hidden="false" customHeight="false" outlineLevel="0" collapsed="false">
      <c r="I403" s="20"/>
    </row>
    <row r="404" customFormat="false" ht="15" hidden="false" customHeight="false" outlineLevel="0" collapsed="false">
      <c r="I404" s="20"/>
    </row>
    <row r="405" customFormat="false" ht="15" hidden="false" customHeight="false" outlineLevel="0" collapsed="false">
      <c r="I405" s="20"/>
    </row>
    <row r="406" customFormat="false" ht="15" hidden="false" customHeight="false" outlineLevel="0" collapsed="false">
      <c r="I406" s="20"/>
    </row>
    <row r="407" customFormat="false" ht="15" hidden="false" customHeight="false" outlineLevel="0" collapsed="false">
      <c r="I407" s="20"/>
    </row>
    <row r="408" customFormat="false" ht="15" hidden="false" customHeight="false" outlineLevel="0" collapsed="false">
      <c r="I408" s="20"/>
    </row>
    <row r="409" customFormat="false" ht="15" hidden="false" customHeight="false" outlineLevel="0" collapsed="false">
      <c r="I409" s="20"/>
    </row>
    <row r="410" customFormat="false" ht="15" hidden="false" customHeight="false" outlineLevel="0" collapsed="false">
      <c r="I410" s="20"/>
    </row>
    <row r="411" customFormat="false" ht="15" hidden="false" customHeight="false" outlineLevel="0" collapsed="false">
      <c r="I411" s="20"/>
    </row>
    <row r="412" customFormat="false" ht="15" hidden="false" customHeight="false" outlineLevel="0" collapsed="false">
      <c r="I412" s="20"/>
    </row>
    <row r="413" customFormat="false" ht="15" hidden="false" customHeight="false" outlineLevel="0" collapsed="false">
      <c r="I413" s="20"/>
    </row>
    <row r="414" customFormat="false" ht="15" hidden="false" customHeight="false" outlineLevel="0" collapsed="false">
      <c r="I414" s="20"/>
    </row>
    <row r="415" customFormat="false" ht="15" hidden="false" customHeight="false" outlineLevel="0" collapsed="false">
      <c r="I415" s="20"/>
    </row>
    <row r="416" customFormat="false" ht="15" hidden="false" customHeight="false" outlineLevel="0" collapsed="false">
      <c r="I416" s="20"/>
    </row>
    <row r="417" customFormat="false" ht="15" hidden="false" customHeight="false" outlineLevel="0" collapsed="false">
      <c r="I417" s="20"/>
    </row>
    <row r="418" customFormat="false" ht="15" hidden="false" customHeight="false" outlineLevel="0" collapsed="false">
      <c r="I418" s="20"/>
    </row>
    <row r="419" customFormat="false" ht="15" hidden="false" customHeight="false" outlineLevel="0" collapsed="false">
      <c r="I419" s="20"/>
    </row>
    <row r="420" customFormat="false" ht="15" hidden="false" customHeight="false" outlineLevel="0" collapsed="false">
      <c r="I420" s="20"/>
    </row>
    <row r="421" customFormat="false" ht="15" hidden="false" customHeight="false" outlineLevel="0" collapsed="false">
      <c r="I421" s="20"/>
    </row>
    <row r="422" customFormat="false" ht="15" hidden="false" customHeight="false" outlineLevel="0" collapsed="false">
      <c r="I422" s="20"/>
    </row>
    <row r="423" customFormat="false" ht="15" hidden="false" customHeight="false" outlineLevel="0" collapsed="false">
      <c r="I423" s="20"/>
    </row>
    <row r="424" customFormat="false" ht="15" hidden="false" customHeight="false" outlineLevel="0" collapsed="false">
      <c r="I424" s="20"/>
    </row>
    <row r="425" customFormat="false" ht="15" hidden="false" customHeight="false" outlineLevel="0" collapsed="false">
      <c r="I425" s="20"/>
    </row>
    <row r="426" customFormat="false" ht="15" hidden="false" customHeight="false" outlineLevel="0" collapsed="false">
      <c r="I426" s="20"/>
    </row>
    <row r="427" customFormat="false" ht="15" hidden="false" customHeight="false" outlineLevel="0" collapsed="false">
      <c r="I427" s="20"/>
    </row>
    <row r="428" customFormat="false" ht="15" hidden="false" customHeight="false" outlineLevel="0" collapsed="false">
      <c r="I428" s="20"/>
    </row>
    <row r="429" customFormat="false" ht="15" hidden="false" customHeight="false" outlineLevel="0" collapsed="false">
      <c r="I429" s="20"/>
    </row>
    <row r="430" customFormat="false" ht="15" hidden="false" customHeight="false" outlineLevel="0" collapsed="false">
      <c r="I430" s="20"/>
    </row>
    <row r="431" customFormat="false" ht="15" hidden="false" customHeight="false" outlineLevel="0" collapsed="false">
      <c r="I431" s="20"/>
    </row>
    <row r="432" customFormat="false" ht="15" hidden="false" customHeight="false" outlineLevel="0" collapsed="false">
      <c r="I432" s="20"/>
    </row>
    <row r="433" customFormat="false" ht="15" hidden="false" customHeight="false" outlineLevel="0" collapsed="false">
      <c r="I433" s="20"/>
    </row>
    <row r="434" customFormat="false" ht="15" hidden="false" customHeight="false" outlineLevel="0" collapsed="false">
      <c r="I434" s="20"/>
    </row>
    <row r="435" customFormat="false" ht="15" hidden="false" customHeight="false" outlineLevel="0" collapsed="false">
      <c r="I435" s="20"/>
    </row>
    <row r="436" customFormat="false" ht="15" hidden="false" customHeight="false" outlineLevel="0" collapsed="false">
      <c r="I436" s="20"/>
    </row>
    <row r="437" customFormat="false" ht="15" hidden="false" customHeight="false" outlineLevel="0" collapsed="false">
      <c r="I437" s="20"/>
    </row>
    <row r="438" customFormat="false" ht="15" hidden="false" customHeight="false" outlineLevel="0" collapsed="false">
      <c r="I438" s="20"/>
    </row>
    <row r="439" customFormat="false" ht="15" hidden="false" customHeight="false" outlineLevel="0" collapsed="false">
      <c r="I439" s="20"/>
    </row>
    <row r="440" customFormat="false" ht="15" hidden="false" customHeight="false" outlineLevel="0" collapsed="false">
      <c r="I440" s="20"/>
    </row>
    <row r="441" customFormat="false" ht="15" hidden="false" customHeight="false" outlineLevel="0" collapsed="false">
      <c r="I441" s="20"/>
    </row>
    <row r="442" customFormat="false" ht="15" hidden="false" customHeight="false" outlineLevel="0" collapsed="false">
      <c r="I442" s="20"/>
    </row>
    <row r="443" customFormat="false" ht="15" hidden="false" customHeight="false" outlineLevel="0" collapsed="false">
      <c r="I443" s="20"/>
    </row>
    <row r="444" customFormat="false" ht="15" hidden="false" customHeight="false" outlineLevel="0" collapsed="false">
      <c r="I444" s="20"/>
    </row>
    <row r="445" customFormat="false" ht="15" hidden="false" customHeight="false" outlineLevel="0" collapsed="false">
      <c r="I445" s="20"/>
    </row>
    <row r="446" customFormat="false" ht="15" hidden="false" customHeight="false" outlineLevel="0" collapsed="false">
      <c r="I446" s="20"/>
    </row>
    <row r="447" customFormat="false" ht="15" hidden="false" customHeight="false" outlineLevel="0" collapsed="false">
      <c r="I447" s="20"/>
    </row>
    <row r="448" customFormat="false" ht="15" hidden="false" customHeight="false" outlineLevel="0" collapsed="false">
      <c r="I448" s="20"/>
    </row>
    <row r="449" customFormat="false" ht="15" hidden="false" customHeight="false" outlineLevel="0" collapsed="false">
      <c r="I449" s="20"/>
    </row>
    <row r="450" customFormat="false" ht="15" hidden="false" customHeight="false" outlineLevel="0" collapsed="false">
      <c r="I450" s="20"/>
    </row>
    <row r="451" customFormat="false" ht="15" hidden="false" customHeight="false" outlineLevel="0" collapsed="false">
      <c r="I451" s="20"/>
    </row>
    <row r="452" customFormat="false" ht="15" hidden="false" customHeight="false" outlineLevel="0" collapsed="false">
      <c r="I452" s="20"/>
    </row>
    <row r="453" customFormat="false" ht="15" hidden="false" customHeight="false" outlineLevel="0" collapsed="false">
      <c r="I453" s="20"/>
    </row>
    <row r="454" customFormat="false" ht="15" hidden="false" customHeight="false" outlineLevel="0" collapsed="false">
      <c r="I454" s="20"/>
    </row>
    <row r="455" customFormat="false" ht="15" hidden="false" customHeight="false" outlineLevel="0" collapsed="false">
      <c r="I455" s="20"/>
    </row>
    <row r="456" customFormat="false" ht="15" hidden="false" customHeight="false" outlineLevel="0" collapsed="false">
      <c r="I456" s="20"/>
    </row>
    <row r="457" customFormat="false" ht="15" hidden="false" customHeight="false" outlineLevel="0" collapsed="false">
      <c r="I457" s="20"/>
    </row>
    <row r="458" customFormat="false" ht="15" hidden="false" customHeight="false" outlineLevel="0" collapsed="false">
      <c r="I458" s="20"/>
    </row>
    <row r="459" customFormat="false" ht="15" hidden="false" customHeight="false" outlineLevel="0" collapsed="false">
      <c r="I459" s="20"/>
    </row>
    <row r="460" customFormat="false" ht="15" hidden="false" customHeight="false" outlineLevel="0" collapsed="false">
      <c r="I460" s="20"/>
    </row>
    <row r="461" customFormat="false" ht="15" hidden="false" customHeight="false" outlineLevel="0" collapsed="false">
      <c r="I461" s="20"/>
    </row>
    <row r="462" customFormat="false" ht="15" hidden="false" customHeight="false" outlineLevel="0" collapsed="false">
      <c r="I462" s="20"/>
    </row>
    <row r="463" customFormat="false" ht="15" hidden="false" customHeight="false" outlineLevel="0" collapsed="false">
      <c r="I463" s="20"/>
    </row>
    <row r="464" customFormat="false" ht="15" hidden="false" customHeight="false" outlineLevel="0" collapsed="false">
      <c r="I464" s="20"/>
    </row>
    <row r="465" customFormat="false" ht="15" hidden="false" customHeight="false" outlineLevel="0" collapsed="false">
      <c r="I465" s="20"/>
    </row>
    <row r="466" customFormat="false" ht="15" hidden="false" customHeight="false" outlineLevel="0" collapsed="false">
      <c r="I466" s="20"/>
    </row>
    <row r="467" customFormat="false" ht="15" hidden="false" customHeight="false" outlineLevel="0" collapsed="false">
      <c r="I467" s="20"/>
    </row>
    <row r="468" customFormat="false" ht="15" hidden="false" customHeight="false" outlineLevel="0" collapsed="false">
      <c r="I468" s="20"/>
    </row>
    <row r="469" customFormat="false" ht="15" hidden="false" customHeight="false" outlineLevel="0" collapsed="false">
      <c r="I469" s="20"/>
    </row>
    <row r="470" customFormat="false" ht="15" hidden="false" customHeight="false" outlineLevel="0" collapsed="false">
      <c r="I470" s="20"/>
    </row>
    <row r="471" customFormat="false" ht="15" hidden="false" customHeight="false" outlineLevel="0" collapsed="false">
      <c r="I471" s="20"/>
    </row>
    <row r="472" customFormat="false" ht="15" hidden="false" customHeight="false" outlineLevel="0" collapsed="false">
      <c r="I472" s="20"/>
    </row>
    <row r="473" customFormat="false" ht="15" hidden="false" customHeight="false" outlineLevel="0" collapsed="false">
      <c r="I473" s="20"/>
    </row>
    <row r="474" customFormat="false" ht="15" hidden="false" customHeight="false" outlineLevel="0" collapsed="false">
      <c r="I474" s="20"/>
    </row>
    <row r="475" customFormat="false" ht="15" hidden="false" customHeight="false" outlineLevel="0" collapsed="false">
      <c r="I475" s="20"/>
    </row>
    <row r="476" customFormat="false" ht="15" hidden="false" customHeight="false" outlineLevel="0" collapsed="false">
      <c r="I476" s="20"/>
    </row>
    <row r="477" customFormat="false" ht="15" hidden="false" customHeight="false" outlineLevel="0" collapsed="false">
      <c r="I477" s="20"/>
    </row>
    <row r="478" customFormat="false" ht="15" hidden="false" customHeight="false" outlineLevel="0" collapsed="false">
      <c r="I478" s="20"/>
    </row>
    <row r="479" customFormat="false" ht="15" hidden="false" customHeight="false" outlineLevel="0" collapsed="false">
      <c r="I479" s="20"/>
    </row>
    <row r="480" customFormat="false" ht="15" hidden="false" customHeight="false" outlineLevel="0" collapsed="false">
      <c r="I480" s="20"/>
    </row>
    <row r="481" customFormat="false" ht="15" hidden="false" customHeight="false" outlineLevel="0" collapsed="false">
      <c r="I481" s="20"/>
    </row>
    <row r="482" customFormat="false" ht="15" hidden="false" customHeight="false" outlineLevel="0" collapsed="false">
      <c r="I482" s="20"/>
    </row>
    <row r="483" customFormat="false" ht="15" hidden="false" customHeight="false" outlineLevel="0" collapsed="false">
      <c r="I483" s="20"/>
    </row>
    <row r="484" customFormat="false" ht="15" hidden="false" customHeight="false" outlineLevel="0" collapsed="false">
      <c r="I484" s="20"/>
    </row>
    <row r="485" customFormat="false" ht="15" hidden="false" customHeight="false" outlineLevel="0" collapsed="false">
      <c r="I485" s="20"/>
    </row>
    <row r="486" customFormat="false" ht="15" hidden="false" customHeight="false" outlineLevel="0" collapsed="false">
      <c r="I486" s="20"/>
    </row>
    <row r="487" customFormat="false" ht="15" hidden="false" customHeight="false" outlineLevel="0" collapsed="false">
      <c r="I487" s="20"/>
    </row>
    <row r="488" customFormat="false" ht="15" hidden="false" customHeight="false" outlineLevel="0" collapsed="false">
      <c r="I488" s="20"/>
    </row>
    <row r="489" customFormat="false" ht="15" hidden="false" customHeight="false" outlineLevel="0" collapsed="false">
      <c r="I489" s="20"/>
    </row>
    <row r="490" customFormat="false" ht="15" hidden="false" customHeight="false" outlineLevel="0" collapsed="false">
      <c r="I490" s="20"/>
    </row>
    <row r="491" customFormat="false" ht="15" hidden="false" customHeight="false" outlineLevel="0" collapsed="false">
      <c r="I491" s="20"/>
    </row>
    <row r="492" customFormat="false" ht="15" hidden="false" customHeight="false" outlineLevel="0" collapsed="false">
      <c r="I492" s="20"/>
    </row>
    <row r="493" customFormat="false" ht="15" hidden="false" customHeight="false" outlineLevel="0" collapsed="false">
      <c r="I493" s="20"/>
    </row>
    <row r="494" customFormat="false" ht="15" hidden="false" customHeight="false" outlineLevel="0" collapsed="false">
      <c r="I494" s="20"/>
    </row>
    <row r="495" customFormat="false" ht="15" hidden="false" customHeight="false" outlineLevel="0" collapsed="false">
      <c r="I495" s="20"/>
    </row>
    <row r="496" customFormat="false" ht="15" hidden="false" customHeight="false" outlineLevel="0" collapsed="false">
      <c r="I496" s="20"/>
    </row>
    <row r="497" customFormat="false" ht="15" hidden="false" customHeight="false" outlineLevel="0" collapsed="false">
      <c r="I497" s="20"/>
    </row>
    <row r="498" customFormat="false" ht="15" hidden="false" customHeight="false" outlineLevel="0" collapsed="false">
      <c r="I498" s="20"/>
    </row>
    <row r="499" customFormat="false" ht="15" hidden="false" customHeight="false" outlineLevel="0" collapsed="false">
      <c r="I499" s="20"/>
    </row>
    <row r="500" customFormat="false" ht="15" hidden="false" customHeight="false" outlineLevel="0" collapsed="false">
      <c r="I500" s="20"/>
    </row>
    <row r="501" customFormat="false" ht="15" hidden="false" customHeight="false" outlineLevel="0" collapsed="false">
      <c r="I501" s="20"/>
    </row>
    <row r="502" customFormat="false" ht="15" hidden="false" customHeight="false" outlineLevel="0" collapsed="false">
      <c r="I502" s="20"/>
    </row>
    <row r="503" customFormat="false" ht="15" hidden="false" customHeight="false" outlineLevel="0" collapsed="false">
      <c r="I503" s="20"/>
    </row>
    <row r="504" customFormat="false" ht="15" hidden="false" customHeight="false" outlineLevel="0" collapsed="false">
      <c r="I504" s="20"/>
    </row>
    <row r="505" customFormat="false" ht="15" hidden="false" customHeight="false" outlineLevel="0" collapsed="false">
      <c r="I505" s="20"/>
    </row>
    <row r="506" customFormat="false" ht="15" hidden="false" customHeight="false" outlineLevel="0" collapsed="false">
      <c r="I506" s="20"/>
    </row>
    <row r="507" customFormat="false" ht="15" hidden="false" customHeight="false" outlineLevel="0" collapsed="false">
      <c r="I507" s="20"/>
    </row>
    <row r="508" customFormat="false" ht="15" hidden="false" customHeight="false" outlineLevel="0" collapsed="false">
      <c r="I508" s="20"/>
    </row>
    <row r="509" customFormat="false" ht="15" hidden="false" customHeight="false" outlineLevel="0" collapsed="false">
      <c r="I509" s="20"/>
    </row>
    <row r="510" customFormat="false" ht="15" hidden="false" customHeight="false" outlineLevel="0" collapsed="false">
      <c r="I510" s="20"/>
    </row>
    <row r="511" customFormat="false" ht="15" hidden="false" customHeight="false" outlineLevel="0" collapsed="false">
      <c r="I511" s="20"/>
    </row>
    <row r="512" customFormat="false" ht="15" hidden="false" customHeight="false" outlineLevel="0" collapsed="false">
      <c r="I512" s="20"/>
    </row>
    <row r="513" customFormat="false" ht="15" hidden="false" customHeight="false" outlineLevel="0" collapsed="false">
      <c r="I513" s="20"/>
    </row>
    <row r="514" customFormat="false" ht="15" hidden="false" customHeight="false" outlineLevel="0" collapsed="false">
      <c r="I514" s="20"/>
    </row>
    <row r="515" customFormat="false" ht="15" hidden="false" customHeight="false" outlineLevel="0" collapsed="false">
      <c r="I515" s="20"/>
    </row>
    <row r="516" customFormat="false" ht="15" hidden="false" customHeight="false" outlineLevel="0" collapsed="false">
      <c r="I516" s="20"/>
    </row>
    <row r="517" customFormat="false" ht="15" hidden="false" customHeight="false" outlineLevel="0" collapsed="false">
      <c r="I517" s="20"/>
    </row>
    <row r="518" customFormat="false" ht="15" hidden="false" customHeight="false" outlineLevel="0" collapsed="false">
      <c r="I518" s="20"/>
    </row>
    <row r="519" customFormat="false" ht="15" hidden="false" customHeight="false" outlineLevel="0" collapsed="false">
      <c r="I519" s="20"/>
    </row>
    <row r="520" customFormat="false" ht="15" hidden="false" customHeight="false" outlineLevel="0" collapsed="false">
      <c r="I520" s="20"/>
    </row>
    <row r="521" customFormat="false" ht="15" hidden="false" customHeight="false" outlineLevel="0" collapsed="false">
      <c r="I521" s="20"/>
    </row>
    <row r="522" customFormat="false" ht="15" hidden="false" customHeight="false" outlineLevel="0" collapsed="false">
      <c r="I522" s="20"/>
    </row>
    <row r="523" customFormat="false" ht="15" hidden="false" customHeight="false" outlineLevel="0" collapsed="false">
      <c r="I523" s="20"/>
    </row>
    <row r="524" customFormat="false" ht="15" hidden="false" customHeight="false" outlineLevel="0" collapsed="false">
      <c r="I524" s="20"/>
    </row>
    <row r="525" customFormat="false" ht="15" hidden="false" customHeight="false" outlineLevel="0" collapsed="false">
      <c r="I525" s="20"/>
    </row>
    <row r="526" customFormat="false" ht="15" hidden="false" customHeight="false" outlineLevel="0" collapsed="false">
      <c r="I526" s="20"/>
    </row>
    <row r="527" customFormat="false" ht="15" hidden="false" customHeight="false" outlineLevel="0" collapsed="false">
      <c r="I527" s="20"/>
    </row>
    <row r="528" customFormat="false" ht="15" hidden="false" customHeight="false" outlineLevel="0" collapsed="false">
      <c r="I528" s="20"/>
    </row>
    <row r="529" customFormat="false" ht="15" hidden="false" customHeight="false" outlineLevel="0" collapsed="false">
      <c r="I529" s="20"/>
    </row>
    <row r="530" customFormat="false" ht="15" hidden="false" customHeight="false" outlineLevel="0" collapsed="false">
      <c r="I530" s="20"/>
    </row>
    <row r="531" customFormat="false" ht="15" hidden="false" customHeight="false" outlineLevel="0" collapsed="false">
      <c r="I531" s="20"/>
    </row>
    <row r="532" customFormat="false" ht="15" hidden="false" customHeight="false" outlineLevel="0" collapsed="false">
      <c r="I532" s="20"/>
    </row>
    <row r="533" customFormat="false" ht="15" hidden="false" customHeight="false" outlineLevel="0" collapsed="false">
      <c r="I533" s="20"/>
    </row>
    <row r="534" customFormat="false" ht="15" hidden="false" customHeight="false" outlineLevel="0" collapsed="false">
      <c r="I534" s="20"/>
    </row>
    <row r="535" customFormat="false" ht="15" hidden="false" customHeight="false" outlineLevel="0" collapsed="false">
      <c r="I535" s="20"/>
    </row>
    <row r="536" customFormat="false" ht="15" hidden="false" customHeight="false" outlineLevel="0" collapsed="false">
      <c r="I536" s="20"/>
    </row>
    <row r="537" customFormat="false" ht="15" hidden="false" customHeight="false" outlineLevel="0" collapsed="false">
      <c r="I537" s="20"/>
    </row>
    <row r="538" customFormat="false" ht="15" hidden="false" customHeight="false" outlineLevel="0" collapsed="false">
      <c r="I538" s="20"/>
    </row>
    <row r="539" customFormat="false" ht="15" hidden="false" customHeight="false" outlineLevel="0" collapsed="false">
      <c r="I539" s="20"/>
    </row>
    <row r="540" customFormat="false" ht="15" hidden="false" customHeight="false" outlineLevel="0" collapsed="false">
      <c r="I540" s="20"/>
    </row>
    <row r="541" customFormat="false" ht="15" hidden="false" customHeight="false" outlineLevel="0" collapsed="false">
      <c r="I541" s="20"/>
    </row>
    <row r="542" customFormat="false" ht="15" hidden="false" customHeight="false" outlineLevel="0" collapsed="false">
      <c r="I542" s="20"/>
    </row>
    <row r="543" customFormat="false" ht="15" hidden="false" customHeight="false" outlineLevel="0" collapsed="false">
      <c r="I543" s="20"/>
    </row>
    <row r="544" customFormat="false" ht="15" hidden="false" customHeight="false" outlineLevel="0" collapsed="false">
      <c r="I544" s="20"/>
    </row>
    <row r="545" customFormat="false" ht="15" hidden="false" customHeight="false" outlineLevel="0" collapsed="false">
      <c r="I545" s="20"/>
    </row>
    <row r="546" customFormat="false" ht="15" hidden="false" customHeight="false" outlineLevel="0" collapsed="false">
      <c r="I546" s="20"/>
    </row>
    <row r="547" customFormat="false" ht="15" hidden="false" customHeight="false" outlineLevel="0" collapsed="false">
      <c r="I547" s="20"/>
    </row>
    <row r="548" customFormat="false" ht="15" hidden="false" customHeight="false" outlineLevel="0" collapsed="false">
      <c r="I548" s="20"/>
    </row>
    <row r="549" customFormat="false" ht="15" hidden="false" customHeight="false" outlineLevel="0" collapsed="false">
      <c r="I549" s="20"/>
    </row>
    <row r="550" customFormat="false" ht="15" hidden="false" customHeight="false" outlineLevel="0" collapsed="false">
      <c r="I550" s="20"/>
    </row>
    <row r="551" customFormat="false" ht="15" hidden="false" customHeight="false" outlineLevel="0" collapsed="false">
      <c r="I551" s="20"/>
    </row>
    <row r="552" customFormat="false" ht="15" hidden="false" customHeight="false" outlineLevel="0" collapsed="false">
      <c r="I552" s="20"/>
    </row>
    <row r="553" customFormat="false" ht="15" hidden="false" customHeight="false" outlineLevel="0" collapsed="false">
      <c r="I553" s="20"/>
    </row>
    <row r="554" customFormat="false" ht="15" hidden="false" customHeight="false" outlineLevel="0" collapsed="false">
      <c r="I554" s="20"/>
    </row>
    <row r="555" customFormat="false" ht="15" hidden="false" customHeight="false" outlineLevel="0" collapsed="false">
      <c r="I555" s="20"/>
    </row>
    <row r="556" customFormat="false" ht="15" hidden="false" customHeight="false" outlineLevel="0" collapsed="false">
      <c r="I556" s="20"/>
    </row>
    <row r="557" customFormat="false" ht="15" hidden="false" customHeight="false" outlineLevel="0" collapsed="false">
      <c r="I557" s="20"/>
    </row>
    <row r="558" customFormat="false" ht="15" hidden="false" customHeight="false" outlineLevel="0" collapsed="false">
      <c r="I558" s="20"/>
    </row>
    <row r="559" customFormat="false" ht="15" hidden="false" customHeight="false" outlineLevel="0" collapsed="false">
      <c r="I559" s="20"/>
    </row>
    <row r="560" customFormat="false" ht="15" hidden="false" customHeight="false" outlineLevel="0" collapsed="false">
      <c r="I560" s="20"/>
    </row>
    <row r="561" customFormat="false" ht="15" hidden="false" customHeight="false" outlineLevel="0" collapsed="false">
      <c r="I561" s="20"/>
    </row>
    <row r="562" customFormat="false" ht="15" hidden="false" customHeight="false" outlineLevel="0" collapsed="false">
      <c r="I562" s="20"/>
    </row>
    <row r="563" customFormat="false" ht="15" hidden="false" customHeight="false" outlineLevel="0" collapsed="false">
      <c r="I563" s="20"/>
    </row>
    <row r="564" customFormat="false" ht="15" hidden="false" customHeight="false" outlineLevel="0" collapsed="false">
      <c r="I564" s="20"/>
    </row>
    <row r="565" customFormat="false" ht="15" hidden="false" customHeight="false" outlineLevel="0" collapsed="false">
      <c r="I565" s="20"/>
    </row>
    <row r="566" customFormat="false" ht="15" hidden="false" customHeight="false" outlineLevel="0" collapsed="false">
      <c r="I566" s="20"/>
    </row>
    <row r="567" customFormat="false" ht="15" hidden="false" customHeight="false" outlineLevel="0" collapsed="false">
      <c r="I567" s="20"/>
    </row>
    <row r="568" customFormat="false" ht="15" hidden="false" customHeight="false" outlineLevel="0" collapsed="false">
      <c r="I568" s="20"/>
    </row>
    <row r="569" customFormat="false" ht="15" hidden="false" customHeight="false" outlineLevel="0" collapsed="false">
      <c r="I569" s="20"/>
    </row>
    <row r="570" customFormat="false" ht="15" hidden="false" customHeight="false" outlineLevel="0" collapsed="false">
      <c r="I570" s="20"/>
    </row>
    <row r="571" customFormat="false" ht="15" hidden="false" customHeight="false" outlineLevel="0" collapsed="false">
      <c r="I571" s="20"/>
    </row>
    <row r="572" customFormat="false" ht="15" hidden="false" customHeight="false" outlineLevel="0" collapsed="false">
      <c r="I572" s="20"/>
    </row>
    <row r="573" customFormat="false" ht="15" hidden="false" customHeight="false" outlineLevel="0" collapsed="false">
      <c r="I573" s="20"/>
    </row>
    <row r="574" customFormat="false" ht="15" hidden="false" customHeight="false" outlineLevel="0" collapsed="false">
      <c r="I574" s="20"/>
    </row>
    <row r="575" customFormat="false" ht="15" hidden="false" customHeight="false" outlineLevel="0" collapsed="false">
      <c r="I575" s="20"/>
    </row>
    <row r="576" customFormat="false" ht="15" hidden="false" customHeight="false" outlineLevel="0" collapsed="false">
      <c r="I576" s="20"/>
    </row>
    <row r="577" customFormat="false" ht="15" hidden="false" customHeight="false" outlineLevel="0" collapsed="false">
      <c r="I577" s="20"/>
    </row>
    <row r="578" customFormat="false" ht="15" hidden="false" customHeight="false" outlineLevel="0" collapsed="false">
      <c r="I578" s="20"/>
    </row>
    <row r="579" customFormat="false" ht="15" hidden="false" customHeight="false" outlineLevel="0" collapsed="false">
      <c r="I579" s="20"/>
    </row>
    <row r="580" customFormat="false" ht="15" hidden="false" customHeight="false" outlineLevel="0" collapsed="false">
      <c r="I580" s="20"/>
    </row>
    <row r="581" customFormat="false" ht="15" hidden="false" customHeight="false" outlineLevel="0" collapsed="false">
      <c r="I581" s="20"/>
    </row>
    <row r="582" customFormat="false" ht="15" hidden="false" customHeight="false" outlineLevel="0" collapsed="false">
      <c r="I582" s="20"/>
    </row>
    <row r="583" customFormat="false" ht="15" hidden="false" customHeight="false" outlineLevel="0" collapsed="false">
      <c r="I583" s="20"/>
    </row>
    <row r="584" customFormat="false" ht="15" hidden="false" customHeight="false" outlineLevel="0" collapsed="false">
      <c r="I584" s="20"/>
    </row>
    <row r="585" customFormat="false" ht="15" hidden="false" customHeight="false" outlineLevel="0" collapsed="false">
      <c r="I585" s="20"/>
    </row>
    <row r="586" customFormat="false" ht="15" hidden="false" customHeight="false" outlineLevel="0" collapsed="false">
      <c r="I586" s="20"/>
    </row>
    <row r="587" customFormat="false" ht="15" hidden="false" customHeight="false" outlineLevel="0" collapsed="false">
      <c r="I587" s="20"/>
    </row>
    <row r="588" customFormat="false" ht="15" hidden="false" customHeight="false" outlineLevel="0" collapsed="false">
      <c r="I588" s="20"/>
    </row>
    <row r="589" customFormat="false" ht="15" hidden="false" customHeight="false" outlineLevel="0" collapsed="false">
      <c r="I589" s="20"/>
    </row>
    <row r="590" customFormat="false" ht="15" hidden="false" customHeight="false" outlineLevel="0" collapsed="false">
      <c r="I590" s="20"/>
    </row>
    <row r="591" customFormat="false" ht="15" hidden="false" customHeight="false" outlineLevel="0" collapsed="false">
      <c r="I591" s="20"/>
    </row>
    <row r="592" customFormat="false" ht="15" hidden="false" customHeight="false" outlineLevel="0" collapsed="false">
      <c r="I592" s="20"/>
    </row>
    <row r="593" customFormat="false" ht="15" hidden="false" customHeight="false" outlineLevel="0" collapsed="false">
      <c r="I593" s="20"/>
    </row>
    <row r="594" customFormat="false" ht="15" hidden="false" customHeight="false" outlineLevel="0" collapsed="false">
      <c r="I594" s="20"/>
    </row>
    <row r="595" customFormat="false" ht="15" hidden="false" customHeight="false" outlineLevel="0" collapsed="false">
      <c r="I595" s="20"/>
    </row>
    <row r="596" customFormat="false" ht="15" hidden="false" customHeight="false" outlineLevel="0" collapsed="false">
      <c r="I596" s="20"/>
    </row>
    <row r="597" customFormat="false" ht="15" hidden="false" customHeight="false" outlineLevel="0" collapsed="false">
      <c r="I597" s="20"/>
    </row>
    <row r="598" customFormat="false" ht="15" hidden="false" customHeight="false" outlineLevel="0" collapsed="false">
      <c r="I598" s="20"/>
    </row>
    <row r="599" customFormat="false" ht="15" hidden="false" customHeight="false" outlineLevel="0" collapsed="false">
      <c r="I599" s="20"/>
    </row>
    <row r="600" customFormat="false" ht="15" hidden="false" customHeight="false" outlineLevel="0" collapsed="false">
      <c r="I600" s="20"/>
    </row>
    <row r="601" customFormat="false" ht="15" hidden="false" customHeight="false" outlineLevel="0" collapsed="false">
      <c r="I601" s="20"/>
    </row>
    <row r="602" customFormat="false" ht="15" hidden="false" customHeight="false" outlineLevel="0" collapsed="false">
      <c r="I602" s="20"/>
    </row>
    <row r="603" customFormat="false" ht="15" hidden="false" customHeight="false" outlineLevel="0" collapsed="false">
      <c r="I603" s="20"/>
    </row>
    <row r="604" customFormat="false" ht="15" hidden="false" customHeight="false" outlineLevel="0" collapsed="false">
      <c r="I604" s="20"/>
    </row>
    <row r="605" customFormat="false" ht="15" hidden="false" customHeight="false" outlineLevel="0" collapsed="false">
      <c r="I605" s="20"/>
    </row>
    <row r="606" customFormat="false" ht="15" hidden="false" customHeight="false" outlineLevel="0" collapsed="false">
      <c r="I606" s="20"/>
    </row>
    <row r="607" customFormat="false" ht="15" hidden="false" customHeight="false" outlineLevel="0" collapsed="false">
      <c r="I607" s="20"/>
    </row>
    <row r="608" customFormat="false" ht="15" hidden="false" customHeight="false" outlineLevel="0" collapsed="false">
      <c r="I608" s="20"/>
    </row>
    <row r="609" customFormat="false" ht="15" hidden="false" customHeight="false" outlineLevel="0" collapsed="false">
      <c r="I609" s="20"/>
    </row>
    <row r="610" customFormat="false" ht="15" hidden="false" customHeight="false" outlineLevel="0" collapsed="false">
      <c r="I610" s="20"/>
    </row>
    <row r="611" customFormat="false" ht="15" hidden="false" customHeight="false" outlineLevel="0" collapsed="false">
      <c r="I611" s="20"/>
    </row>
    <row r="612" customFormat="false" ht="15" hidden="false" customHeight="false" outlineLevel="0" collapsed="false">
      <c r="I612" s="20"/>
    </row>
    <row r="613" customFormat="false" ht="15" hidden="false" customHeight="false" outlineLevel="0" collapsed="false">
      <c r="I613" s="20"/>
    </row>
    <row r="614" customFormat="false" ht="15" hidden="false" customHeight="false" outlineLevel="0" collapsed="false">
      <c r="I614" s="20"/>
    </row>
    <row r="615" customFormat="false" ht="15" hidden="false" customHeight="false" outlineLevel="0" collapsed="false">
      <c r="I615" s="20"/>
    </row>
    <row r="616" customFormat="false" ht="15" hidden="false" customHeight="false" outlineLevel="0" collapsed="false">
      <c r="I616" s="20"/>
    </row>
    <row r="617" customFormat="false" ht="15" hidden="false" customHeight="false" outlineLevel="0" collapsed="false">
      <c r="I617" s="20"/>
    </row>
    <row r="618" customFormat="false" ht="15" hidden="false" customHeight="false" outlineLevel="0" collapsed="false">
      <c r="I618" s="20"/>
    </row>
    <row r="619" customFormat="false" ht="15" hidden="false" customHeight="false" outlineLevel="0" collapsed="false">
      <c r="I619" s="20"/>
    </row>
    <row r="620" customFormat="false" ht="15" hidden="false" customHeight="false" outlineLevel="0" collapsed="false">
      <c r="I620" s="20"/>
    </row>
    <row r="621" customFormat="false" ht="15" hidden="false" customHeight="false" outlineLevel="0" collapsed="false">
      <c r="I621" s="20"/>
    </row>
    <row r="622" customFormat="false" ht="15" hidden="false" customHeight="false" outlineLevel="0" collapsed="false">
      <c r="I622" s="20"/>
    </row>
    <row r="623" customFormat="false" ht="15" hidden="false" customHeight="false" outlineLevel="0" collapsed="false">
      <c r="I623" s="20"/>
    </row>
    <row r="624" customFormat="false" ht="15" hidden="false" customHeight="false" outlineLevel="0" collapsed="false">
      <c r="I624" s="20"/>
    </row>
    <row r="625" customFormat="false" ht="15" hidden="false" customHeight="false" outlineLevel="0" collapsed="false">
      <c r="I625" s="20"/>
    </row>
    <row r="626" customFormat="false" ht="15" hidden="false" customHeight="false" outlineLevel="0" collapsed="false">
      <c r="I626" s="20"/>
    </row>
    <row r="627" customFormat="false" ht="15" hidden="false" customHeight="false" outlineLevel="0" collapsed="false">
      <c r="I627" s="20"/>
    </row>
    <row r="628" customFormat="false" ht="15" hidden="false" customHeight="false" outlineLevel="0" collapsed="false">
      <c r="I628" s="20"/>
    </row>
    <row r="629" customFormat="false" ht="15" hidden="false" customHeight="false" outlineLevel="0" collapsed="false">
      <c r="I629" s="20"/>
    </row>
    <row r="630" customFormat="false" ht="15" hidden="false" customHeight="false" outlineLevel="0" collapsed="false">
      <c r="I630" s="20"/>
    </row>
    <row r="631" customFormat="false" ht="15" hidden="false" customHeight="false" outlineLevel="0" collapsed="false">
      <c r="I631" s="20"/>
    </row>
    <row r="632" customFormat="false" ht="15" hidden="false" customHeight="false" outlineLevel="0" collapsed="false">
      <c r="I632" s="20"/>
    </row>
    <row r="633" customFormat="false" ht="15" hidden="false" customHeight="false" outlineLevel="0" collapsed="false">
      <c r="I633" s="20"/>
    </row>
    <row r="634" customFormat="false" ht="15" hidden="false" customHeight="false" outlineLevel="0" collapsed="false">
      <c r="I634" s="20"/>
    </row>
    <row r="635" customFormat="false" ht="15" hidden="false" customHeight="false" outlineLevel="0" collapsed="false">
      <c r="I635" s="20"/>
    </row>
    <row r="636" customFormat="false" ht="15" hidden="false" customHeight="false" outlineLevel="0" collapsed="false">
      <c r="I636" s="20"/>
    </row>
    <row r="637" customFormat="false" ht="15" hidden="false" customHeight="false" outlineLevel="0" collapsed="false">
      <c r="I637" s="20"/>
    </row>
    <row r="638" customFormat="false" ht="15" hidden="false" customHeight="false" outlineLevel="0" collapsed="false">
      <c r="I638" s="20"/>
    </row>
    <row r="639" customFormat="false" ht="15" hidden="false" customHeight="false" outlineLevel="0" collapsed="false">
      <c r="I639" s="20"/>
    </row>
    <row r="640" customFormat="false" ht="15" hidden="false" customHeight="false" outlineLevel="0" collapsed="false">
      <c r="I640" s="20"/>
    </row>
    <row r="641" customFormat="false" ht="15" hidden="false" customHeight="false" outlineLevel="0" collapsed="false">
      <c r="I641" s="20"/>
    </row>
    <row r="642" customFormat="false" ht="15" hidden="false" customHeight="false" outlineLevel="0" collapsed="false">
      <c r="I642" s="20"/>
    </row>
    <row r="643" customFormat="false" ht="15" hidden="false" customHeight="false" outlineLevel="0" collapsed="false">
      <c r="I643" s="20"/>
    </row>
    <row r="644" customFormat="false" ht="15" hidden="false" customHeight="false" outlineLevel="0" collapsed="false">
      <c r="I644" s="20"/>
    </row>
    <row r="645" customFormat="false" ht="15" hidden="false" customHeight="false" outlineLevel="0" collapsed="false">
      <c r="I645" s="20"/>
    </row>
    <row r="646" customFormat="false" ht="15" hidden="false" customHeight="false" outlineLevel="0" collapsed="false">
      <c r="I646" s="20"/>
    </row>
    <row r="647" customFormat="false" ht="15" hidden="false" customHeight="false" outlineLevel="0" collapsed="false">
      <c r="I647" s="20"/>
    </row>
    <row r="648" customFormat="false" ht="15" hidden="false" customHeight="false" outlineLevel="0" collapsed="false">
      <c r="I648" s="20"/>
    </row>
    <row r="649" customFormat="false" ht="15" hidden="false" customHeight="false" outlineLevel="0" collapsed="false">
      <c r="I649" s="20"/>
    </row>
    <row r="650" customFormat="false" ht="15" hidden="false" customHeight="false" outlineLevel="0" collapsed="false">
      <c r="I650" s="20"/>
    </row>
    <row r="651" customFormat="false" ht="15" hidden="false" customHeight="false" outlineLevel="0" collapsed="false">
      <c r="I651" s="20"/>
    </row>
    <row r="652" customFormat="false" ht="15" hidden="false" customHeight="false" outlineLevel="0" collapsed="false">
      <c r="I652" s="20"/>
    </row>
    <row r="653" customFormat="false" ht="15" hidden="false" customHeight="false" outlineLevel="0" collapsed="false">
      <c r="I653" s="20"/>
    </row>
    <row r="654" customFormat="false" ht="15" hidden="false" customHeight="false" outlineLevel="0" collapsed="false">
      <c r="I654" s="20"/>
    </row>
    <row r="655" customFormat="false" ht="15" hidden="false" customHeight="false" outlineLevel="0" collapsed="false">
      <c r="I655" s="20"/>
    </row>
    <row r="656" customFormat="false" ht="15" hidden="false" customHeight="false" outlineLevel="0" collapsed="false">
      <c r="I656" s="20"/>
    </row>
    <row r="657" customFormat="false" ht="15" hidden="false" customHeight="false" outlineLevel="0" collapsed="false">
      <c r="I657" s="20"/>
    </row>
    <row r="658" customFormat="false" ht="15" hidden="false" customHeight="false" outlineLevel="0" collapsed="false">
      <c r="I658" s="20"/>
    </row>
    <row r="659" customFormat="false" ht="15" hidden="false" customHeight="false" outlineLevel="0" collapsed="false">
      <c r="I659" s="20"/>
    </row>
    <row r="660" customFormat="false" ht="15" hidden="false" customHeight="false" outlineLevel="0" collapsed="false">
      <c r="I660" s="20"/>
    </row>
    <row r="661" customFormat="false" ht="15" hidden="false" customHeight="false" outlineLevel="0" collapsed="false">
      <c r="I661" s="20"/>
    </row>
    <row r="662" customFormat="false" ht="15" hidden="false" customHeight="false" outlineLevel="0" collapsed="false">
      <c r="I662" s="20"/>
    </row>
    <row r="663" customFormat="false" ht="15" hidden="false" customHeight="false" outlineLevel="0" collapsed="false">
      <c r="I663" s="20"/>
    </row>
    <row r="664" customFormat="false" ht="15" hidden="false" customHeight="false" outlineLevel="0" collapsed="false">
      <c r="I664" s="20"/>
    </row>
    <row r="665" customFormat="false" ht="15" hidden="false" customHeight="false" outlineLevel="0" collapsed="false">
      <c r="I665" s="20"/>
    </row>
    <row r="666" customFormat="false" ht="15" hidden="false" customHeight="false" outlineLevel="0" collapsed="false">
      <c r="I666" s="20"/>
    </row>
    <row r="667" customFormat="false" ht="15" hidden="false" customHeight="false" outlineLevel="0" collapsed="false">
      <c r="I667" s="20"/>
    </row>
    <row r="668" customFormat="false" ht="15" hidden="false" customHeight="false" outlineLevel="0" collapsed="false">
      <c r="I668" s="20"/>
    </row>
    <row r="669" customFormat="false" ht="15" hidden="false" customHeight="false" outlineLevel="0" collapsed="false">
      <c r="I669" s="20"/>
    </row>
    <row r="670" customFormat="false" ht="15" hidden="false" customHeight="false" outlineLevel="0" collapsed="false">
      <c r="I670" s="20"/>
    </row>
    <row r="671" customFormat="false" ht="15" hidden="false" customHeight="false" outlineLevel="0" collapsed="false">
      <c r="I671" s="20"/>
    </row>
    <row r="672" customFormat="false" ht="15" hidden="false" customHeight="false" outlineLevel="0" collapsed="false">
      <c r="I672" s="20"/>
    </row>
    <row r="673" customFormat="false" ht="15" hidden="false" customHeight="false" outlineLevel="0" collapsed="false">
      <c r="I673" s="20"/>
    </row>
    <row r="674" customFormat="false" ht="15" hidden="false" customHeight="false" outlineLevel="0" collapsed="false">
      <c r="I674" s="20"/>
    </row>
    <row r="675" customFormat="false" ht="15" hidden="false" customHeight="false" outlineLevel="0" collapsed="false">
      <c r="I675" s="20"/>
    </row>
    <row r="676" customFormat="false" ht="15" hidden="false" customHeight="false" outlineLevel="0" collapsed="false">
      <c r="I676" s="20"/>
    </row>
    <row r="677" customFormat="false" ht="15" hidden="false" customHeight="false" outlineLevel="0" collapsed="false">
      <c r="I677" s="20"/>
    </row>
    <row r="678" customFormat="false" ht="15" hidden="false" customHeight="false" outlineLevel="0" collapsed="false">
      <c r="I678" s="20"/>
    </row>
    <row r="679" customFormat="false" ht="15" hidden="false" customHeight="false" outlineLevel="0" collapsed="false">
      <c r="I679" s="20"/>
    </row>
    <row r="680" customFormat="false" ht="15" hidden="false" customHeight="false" outlineLevel="0" collapsed="false">
      <c r="I680" s="20"/>
    </row>
    <row r="681" customFormat="false" ht="15" hidden="false" customHeight="false" outlineLevel="0" collapsed="false">
      <c r="I681" s="20"/>
    </row>
    <row r="682" customFormat="false" ht="15" hidden="false" customHeight="false" outlineLevel="0" collapsed="false">
      <c r="I682" s="20"/>
    </row>
    <row r="683" customFormat="false" ht="15" hidden="false" customHeight="false" outlineLevel="0" collapsed="false">
      <c r="I683" s="20"/>
    </row>
    <row r="684" customFormat="false" ht="15" hidden="false" customHeight="false" outlineLevel="0" collapsed="false">
      <c r="I684" s="20"/>
    </row>
    <row r="685" customFormat="false" ht="15" hidden="false" customHeight="false" outlineLevel="0" collapsed="false">
      <c r="I685" s="20"/>
    </row>
    <row r="686" customFormat="false" ht="15" hidden="false" customHeight="false" outlineLevel="0" collapsed="false">
      <c r="I686" s="20"/>
    </row>
    <row r="687" customFormat="false" ht="15" hidden="false" customHeight="false" outlineLevel="0" collapsed="false">
      <c r="I687" s="20"/>
    </row>
    <row r="688" customFormat="false" ht="15" hidden="false" customHeight="false" outlineLevel="0" collapsed="false">
      <c r="I688" s="20"/>
    </row>
    <row r="689" customFormat="false" ht="15" hidden="false" customHeight="false" outlineLevel="0" collapsed="false">
      <c r="I689" s="20"/>
    </row>
    <row r="690" customFormat="false" ht="15" hidden="false" customHeight="false" outlineLevel="0" collapsed="false">
      <c r="I690" s="20"/>
    </row>
    <row r="691" customFormat="false" ht="15" hidden="false" customHeight="false" outlineLevel="0" collapsed="false">
      <c r="I691" s="20"/>
    </row>
    <row r="692" customFormat="false" ht="15" hidden="false" customHeight="false" outlineLevel="0" collapsed="false">
      <c r="I692" s="20"/>
    </row>
    <row r="693" customFormat="false" ht="15" hidden="false" customHeight="false" outlineLevel="0" collapsed="false">
      <c r="I693" s="20"/>
    </row>
    <row r="694" customFormat="false" ht="15" hidden="false" customHeight="false" outlineLevel="0" collapsed="false">
      <c r="I694" s="20"/>
    </row>
    <row r="695" customFormat="false" ht="15" hidden="false" customHeight="false" outlineLevel="0" collapsed="false">
      <c r="I695" s="20"/>
    </row>
    <row r="696" customFormat="false" ht="15" hidden="false" customHeight="false" outlineLevel="0" collapsed="false">
      <c r="I696" s="20"/>
    </row>
    <row r="697" customFormat="false" ht="15" hidden="false" customHeight="false" outlineLevel="0" collapsed="false">
      <c r="I697" s="20"/>
    </row>
    <row r="698" customFormat="false" ht="15" hidden="false" customHeight="false" outlineLevel="0" collapsed="false">
      <c r="I698" s="20"/>
    </row>
    <row r="699" customFormat="false" ht="15" hidden="false" customHeight="false" outlineLevel="0" collapsed="false">
      <c r="I699" s="20"/>
    </row>
    <row r="700" customFormat="false" ht="15" hidden="false" customHeight="false" outlineLevel="0" collapsed="false">
      <c r="I700" s="20"/>
    </row>
    <row r="701" customFormat="false" ht="15" hidden="false" customHeight="false" outlineLevel="0" collapsed="false">
      <c r="I701" s="20"/>
    </row>
    <row r="702" customFormat="false" ht="15" hidden="false" customHeight="false" outlineLevel="0" collapsed="false">
      <c r="I702" s="20"/>
    </row>
    <row r="703" customFormat="false" ht="15" hidden="false" customHeight="false" outlineLevel="0" collapsed="false">
      <c r="I703" s="20"/>
    </row>
    <row r="704" customFormat="false" ht="15" hidden="false" customHeight="false" outlineLevel="0" collapsed="false">
      <c r="I704" s="20"/>
    </row>
    <row r="705" customFormat="false" ht="15" hidden="false" customHeight="false" outlineLevel="0" collapsed="false">
      <c r="I705" s="20"/>
    </row>
    <row r="706" customFormat="false" ht="15" hidden="false" customHeight="false" outlineLevel="0" collapsed="false">
      <c r="I706" s="20"/>
    </row>
    <row r="707" customFormat="false" ht="15" hidden="false" customHeight="false" outlineLevel="0" collapsed="false">
      <c r="I707" s="20"/>
    </row>
    <row r="708" customFormat="false" ht="15" hidden="false" customHeight="false" outlineLevel="0" collapsed="false">
      <c r="I708" s="20"/>
    </row>
    <row r="709" customFormat="false" ht="15" hidden="false" customHeight="false" outlineLevel="0" collapsed="false">
      <c r="I709" s="20"/>
    </row>
    <row r="710" customFormat="false" ht="15" hidden="false" customHeight="false" outlineLevel="0" collapsed="false">
      <c r="I710" s="20"/>
    </row>
    <row r="711" customFormat="false" ht="15" hidden="false" customHeight="false" outlineLevel="0" collapsed="false">
      <c r="I711" s="20"/>
    </row>
    <row r="712" customFormat="false" ht="15" hidden="false" customHeight="false" outlineLevel="0" collapsed="false">
      <c r="I712" s="20"/>
    </row>
    <row r="713" customFormat="false" ht="15" hidden="false" customHeight="false" outlineLevel="0" collapsed="false">
      <c r="I713" s="20"/>
    </row>
    <row r="714" customFormat="false" ht="15" hidden="false" customHeight="false" outlineLevel="0" collapsed="false">
      <c r="I714" s="20"/>
    </row>
    <row r="715" customFormat="false" ht="15" hidden="false" customHeight="false" outlineLevel="0" collapsed="false">
      <c r="I715" s="20"/>
    </row>
    <row r="716" customFormat="false" ht="15" hidden="false" customHeight="false" outlineLevel="0" collapsed="false">
      <c r="I716" s="20"/>
    </row>
    <row r="717" customFormat="false" ht="15" hidden="false" customHeight="false" outlineLevel="0" collapsed="false">
      <c r="I717" s="20"/>
    </row>
    <row r="718" customFormat="false" ht="15" hidden="false" customHeight="false" outlineLevel="0" collapsed="false">
      <c r="I718" s="20"/>
    </row>
    <row r="719" customFormat="false" ht="15" hidden="false" customHeight="false" outlineLevel="0" collapsed="false">
      <c r="I719" s="20"/>
    </row>
    <row r="720" customFormat="false" ht="15" hidden="false" customHeight="false" outlineLevel="0" collapsed="false">
      <c r="I720" s="20"/>
    </row>
    <row r="721" customFormat="false" ht="15" hidden="false" customHeight="false" outlineLevel="0" collapsed="false">
      <c r="I721" s="20"/>
    </row>
    <row r="722" customFormat="false" ht="15" hidden="false" customHeight="false" outlineLevel="0" collapsed="false">
      <c r="I722" s="20"/>
    </row>
    <row r="723" customFormat="false" ht="15" hidden="false" customHeight="false" outlineLevel="0" collapsed="false">
      <c r="I723" s="20"/>
    </row>
    <row r="724" customFormat="false" ht="15" hidden="false" customHeight="false" outlineLevel="0" collapsed="false">
      <c r="I724" s="20"/>
    </row>
    <row r="725" customFormat="false" ht="15" hidden="false" customHeight="false" outlineLevel="0" collapsed="false">
      <c r="I725" s="20"/>
    </row>
    <row r="726" customFormat="false" ht="15" hidden="false" customHeight="false" outlineLevel="0" collapsed="false">
      <c r="I726" s="20"/>
    </row>
    <row r="727" customFormat="false" ht="15" hidden="false" customHeight="false" outlineLevel="0" collapsed="false">
      <c r="I727" s="20"/>
    </row>
    <row r="728" customFormat="false" ht="15" hidden="false" customHeight="false" outlineLevel="0" collapsed="false">
      <c r="I728" s="20"/>
    </row>
    <row r="729" customFormat="false" ht="15" hidden="false" customHeight="false" outlineLevel="0" collapsed="false">
      <c r="I729" s="20"/>
    </row>
    <row r="730" customFormat="false" ht="15" hidden="false" customHeight="false" outlineLevel="0" collapsed="false">
      <c r="I730" s="20"/>
    </row>
    <row r="731" customFormat="false" ht="15" hidden="false" customHeight="false" outlineLevel="0" collapsed="false">
      <c r="I731" s="20"/>
    </row>
    <row r="732" customFormat="false" ht="15" hidden="false" customHeight="false" outlineLevel="0" collapsed="false">
      <c r="I732" s="20"/>
    </row>
    <row r="733" customFormat="false" ht="15" hidden="false" customHeight="false" outlineLevel="0" collapsed="false">
      <c r="I733" s="20"/>
    </row>
    <row r="734" customFormat="false" ht="15" hidden="false" customHeight="false" outlineLevel="0" collapsed="false">
      <c r="I734" s="20"/>
    </row>
    <row r="735" customFormat="false" ht="15" hidden="false" customHeight="false" outlineLevel="0" collapsed="false">
      <c r="I735" s="20"/>
    </row>
    <row r="736" customFormat="false" ht="15" hidden="false" customHeight="false" outlineLevel="0" collapsed="false">
      <c r="I736" s="20"/>
    </row>
    <row r="737" customFormat="false" ht="15" hidden="false" customHeight="false" outlineLevel="0" collapsed="false">
      <c r="I737" s="20"/>
    </row>
    <row r="738" customFormat="false" ht="15" hidden="false" customHeight="false" outlineLevel="0" collapsed="false">
      <c r="I738" s="20"/>
    </row>
    <row r="739" customFormat="false" ht="15" hidden="false" customHeight="false" outlineLevel="0" collapsed="false">
      <c r="I739" s="20"/>
    </row>
    <row r="740" customFormat="false" ht="15" hidden="false" customHeight="false" outlineLevel="0" collapsed="false">
      <c r="I740" s="20"/>
    </row>
    <row r="741" customFormat="false" ht="15" hidden="false" customHeight="false" outlineLevel="0" collapsed="false">
      <c r="I741" s="20"/>
    </row>
    <row r="742" customFormat="false" ht="15" hidden="false" customHeight="false" outlineLevel="0" collapsed="false">
      <c r="I742" s="20"/>
    </row>
    <row r="743" customFormat="false" ht="15" hidden="false" customHeight="false" outlineLevel="0" collapsed="false">
      <c r="I743" s="20"/>
    </row>
    <row r="744" customFormat="false" ht="15" hidden="false" customHeight="false" outlineLevel="0" collapsed="false">
      <c r="I744" s="20"/>
    </row>
    <row r="745" customFormat="false" ht="15" hidden="false" customHeight="false" outlineLevel="0" collapsed="false">
      <c r="I745" s="20"/>
    </row>
    <row r="746" customFormat="false" ht="15" hidden="false" customHeight="false" outlineLevel="0" collapsed="false">
      <c r="I746" s="20"/>
    </row>
    <row r="747" customFormat="false" ht="15" hidden="false" customHeight="false" outlineLevel="0" collapsed="false">
      <c r="I747" s="20"/>
    </row>
    <row r="748" customFormat="false" ht="15" hidden="false" customHeight="false" outlineLevel="0" collapsed="false">
      <c r="I748" s="20"/>
    </row>
    <row r="749" customFormat="false" ht="15" hidden="false" customHeight="false" outlineLevel="0" collapsed="false">
      <c r="I749" s="20"/>
    </row>
    <row r="750" customFormat="false" ht="15" hidden="false" customHeight="false" outlineLevel="0" collapsed="false">
      <c r="I750" s="20"/>
    </row>
    <row r="751" customFormat="false" ht="15" hidden="false" customHeight="false" outlineLevel="0" collapsed="false">
      <c r="I751" s="20"/>
    </row>
    <row r="752" customFormat="false" ht="15" hidden="false" customHeight="false" outlineLevel="0" collapsed="false">
      <c r="I752" s="20"/>
    </row>
    <row r="753" customFormat="false" ht="15" hidden="false" customHeight="false" outlineLevel="0" collapsed="false">
      <c r="I753" s="20"/>
    </row>
    <row r="754" customFormat="false" ht="15" hidden="false" customHeight="false" outlineLevel="0" collapsed="false">
      <c r="I754" s="20"/>
    </row>
    <row r="755" customFormat="false" ht="15" hidden="false" customHeight="false" outlineLevel="0" collapsed="false">
      <c r="I755" s="20"/>
    </row>
    <row r="756" customFormat="false" ht="15" hidden="false" customHeight="false" outlineLevel="0" collapsed="false">
      <c r="I756" s="20"/>
    </row>
    <row r="757" customFormat="false" ht="15" hidden="false" customHeight="false" outlineLevel="0" collapsed="false">
      <c r="I757" s="20"/>
    </row>
    <row r="758" customFormat="false" ht="15" hidden="false" customHeight="false" outlineLevel="0" collapsed="false">
      <c r="I758" s="20"/>
    </row>
    <row r="759" customFormat="false" ht="15" hidden="false" customHeight="false" outlineLevel="0" collapsed="false">
      <c r="I759" s="20"/>
    </row>
    <row r="760" customFormat="false" ht="15" hidden="false" customHeight="false" outlineLevel="0" collapsed="false">
      <c r="I760" s="20"/>
    </row>
    <row r="761" customFormat="false" ht="15" hidden="false" customHeight="false" outlineLevel="0" collapsed="false">
      <c r="I761" s="20"/>
    </row>
    <row r="762" customFormat="false" ht="15" hidden="false" customHeight="false" outlineLevel="0" collapsed="false">
      <c r="I762" s="20"/>
    </row>
    <row r="763" customFormat="false" ht="15" hidden="false" customHeight="false" outlineLevel="0" collapsed="false">
      <c r="I763" s="20"/>
    </row>
    <row r="764" customFormat="false" ht="15" hidden="false" customHeight="false" outlineLevel="0" collapsed="false">
      <c r="I764" s="20"/>
    </row>
    <row r="765" customFormat="false" ht="15" hidden="false" customHeight="false" outlineLevel="0" collapsed="false">
      <c r="I765" s="20"/>
    </row>
    <row r="766" customFormat="false" ht="15" hidden="false" customHeight="false" outlineLevel="0" collapsed="false">
      <c r="I766" s="20"/>
    </row>
    <row r="767" customFormat="false" ht="15" hidden="false" customHeight="false" outlineLevel="0" collapsed="false">
      <c r="I767" s="20"/>
    </row>
    <row r="768" customFormat="false" ht="15" hidden="false" customHeight="false" outlineLevel="0" collapsed="false">
      <c r="I768" s="20"/>
    </row>
    <row r="769" customFormat="false" ht="15" hidden="false" customHeight="false" outlineLevel="0" collapsed="false">
      <c r="I769" s="20"/>
    </row>
    <row r="770" customFormat="false" ht="15" hidden="false" customHeight="false" outlineLevel="0" collapsed="false">
      <c r="I770" s="20"/>
    </row>
    <row r="771" customFormat="false" ht="15" hidden="false" customHeight="false" outlineLevel="0" collapsed="false">
      <c r="I771" s="20"/>
    </row>
    <row r="772" customFormat="false" ht="15" hidden="false" customHeight="false" outlineLevel="0" collapsed="false">
      <c r="I772" s="20"/>
    </row>
    <row r="773" customFormat="false" ht="15" hidden="false" customHeight="false" outlineLevel="0" collapsed="false">
      <c r="I773" s="20"/>
    </row>
    <row r="774" customFormat="false" ht="15" hidden="false" customHeight="false" outlineLevel="0" collapsed="false">
      <c r="I774" s="20"/>
    </row>
    <row r="775" customFormat="false" ht="15" hidden="false" customHeight="false" outlineLevel="0" collapsed="false">
      <c r="I775" s="20"/>
    </row>
    <row r="776" customFormat="false" ht="15" hidden="false" customHeight="false" outlineLevel="0" collapsed="false">
      <c r="I776" s="20"/>
    </row>
    <row r="777" customFormat="false" ht="15" hidden="false" customHeight="false" outlineLevel="0" collapsed="false">
      <c r="I777" s="20"/>
    </row>
    <row r="778" customFormat="false" ht="15" hidden="false" customHeight="false" outlineLevel="0" collapsed="false">
      <c r="I778" s="20"/>
    </row>
    <row r="779" customFormat="false" ht="15" hidden="false" customHeight="false" outlineLevel="0" collapsed="false">
      <c r="I779" s="20"/>
    </row>
    <row r="780" customFormat="false" ht="15" hidden="false" customHeight="false" outlineLevel="0" collapsed="false">
      <c r="I780" s="20"/>
    </row>
    <row r="781" customFormat="false" ht="15" hidden="false" customHeight="false" outlineLevel="0" collapsed="false">
      <c r="I781" s="20"/>
    </row>
    <row r="782" customFormat="false" ht="15" hidden="false" customHeight="false" outlineLevel="0" collapsed="false">
      <c r="I782" s="20"/>
    </row>
    <row r="783" customFormat="false" ht="15" hidden="false" customHeight="false" outlineLevel="0" collapsed="false">
      <c r="I783" s="20"/>
    </row>
    <row r="784" customFormat="false" ht="15" hidden="false" customHeight="false" outlineLevel="0" collapsed="false">
      <c r="I784" s="20"/>
    </row>
    <row r="785" customFormat="false" ht="15" hidden="false" customHeight="false" outlineLevel="0" collapsed="false">
      <c r="I785" s="20"/>
    </row>
    <row r="786" customFormat="false" ht="15" hidden="false" customHeight="false" outlineLevel="0" collapsed="false">
      <c r="I786" s="20"/>
    </row>
    <row r="787" customFormat="false" ht="15" hidden="false" customHeight="false" outlineLevel="0" collapsed="false">
      <c r="I787" s="20"/>
    </row>
    <row r="788" customFormat="false" ht="15" hidden="false" customHeight="false" outlineLevel="0" collapsed="false">
      <c r="I788" s="20"/>
    </row>
    <row r="789" customFormat="false" ht="15" hidden="false" customHeight="false" outlineLevel="0" collapsed="false">
      <c r="I789" s="20"/>
    </row>
    <row r="790" customFormat="false" ht="15" hidden="false" customHeight="false" outlineLevel="0" collapsed="false">
      <c r="I790" s="20"/>
    </row>
    <row r="791" customFormat="false" ht="15" hidden="false" customHeight="false" outlineLevel="0" collapsed="false">
      <c r="I791" s="20"/>
    </row>
    <row r="792" customFormat="false" ht="15" hidden="false" customHeight="false" outlineLevel="0" collapsed="false">
      <c r="I792" s="20"/>
    </row>
    <row r="793" customFormat="false" ht="15" hidden="false" customHeight="false" outlineLevel="0" collapsed="false">
      <c r="I793" s="20"/>
    </row>
    <row r="794" customFormat="false" ht="15" hidden="false" customHeight="false" outlineLevel="0" collapsed="false">
      <c r="I794" s="20"/>
    </row>
    <row r="795" customFormat="false" ht="15" hidden="false" customHeight="false" outlineLevel="0" collapsed="false">
      <c r="I795" s="20"/>
    </row>
    <row r="796" customFormat="false" ht="15" hidden="false" customHeight="false" outlineLevel="0" collapsed="false">
      <c r="I796" s="20"/>
    </row>
    <row r="797" customFormat="false" ht="15" hidden="false" customHeight="false" outlineLevel="0" collapsed="false">
      <c r="I797" s="20"/>
    </row>
    <row r="798" customFormat="false" ht="15" hidden="false" customHeight="false" outlineLevel="0" collapsed="false">
      <c r="I798" s="20"/>
    </row>
    <row r="799" customFormat="false" ht="15" hidden="false" customHeight="false" outlineLevel="0" collapsed="false">
      <c r="I799" s="20"/>
    </row>
    <row r="800" customFormat="false" ht="15" hidden="false" customHeight="false" outlineLevel="0" collapsed="false">
      <c r="I800" s="20"/>
    </row>
    <row r="801" customFormat="false" ht="15" hidden="false" customHeight="false" outlineLevel="0" collapsed="false">
      <c r="I801" s="20"/>
    </row>
    <row r="802" customFormat="false" ht="15" hidden="false" customHeight="false" outlineLevel="0" collapsed="false">
      <c r="I802" s="20"/>
    </row>
    <row r="803" customFormat="false" ht="15" hidden="false" customHeight="false" outlineLevel="0" collapsed="false">
      <c r="I803" s="20"/>
    </row>
    <row r="804" customFormat="false" ht="15" hidden="false" customHeight="false" outlineLevel="0" collapsed="false">
      <c r="I804" s="20"/>
    </row>
    <row r="805" customFormat="false" ht="15" hidden="false" customHeight="false" outlineLevel="0" collapsed="false">
      <c r="I805" s="20"/>
    </row>
    <row r="806" customFormat="false" ht="15" hidden="false" customHeight="false" outlineLevel="0" collapsed="false">
      <c r="I806" s="20"/>
    </row>
    <row r="807" customFormat="false" ht="15" hidden="false" customHeight="false" outlineLevel="0" collapsed="false">
      <c r="I807" s="20"/>
    </row>
    <row r="808" customFormat="false" ht="15" hidden="false" customHeight="false" outlineLevel="0" collapsed="false">
      <c r="I808" s="20"/>
    </row>
    <row r="809" customFormat="false" ht="15" hidden="false" customHeight="false" outlineLevel="0" collapsed="false">
      <c r="I809" s="20"/>
    </row>
    <row r="810" customFormat="false" ht="15" hidden="false" customHeight="false" outlineLevel="0" collapsed="false">
      <c r="I810" s="20"/>
    </row>
    <row r="811" customFormat="false" ht="15" hidden="false" customHeight="false" outlineLevel="0" collapsed="false">
      <c r="I811" s="20"/>
    </row>
    <row r="812" customFormat="false" ht="15" hidden="false" customHeight="false" outlineLevel="0" collapsed="false">
      <c r="I812" s="20"/>
    </row>
    <row r="813" customFormat="false" ht="15" hidden="false" customHeight="false" outlineLevel="0" collapsed="false">
      <c r="I813" s="20"/>
    </row>
    <row r="814" customFormat="false" ht="15" hidden="false" customHeight="false" outlineLevel="0" collapsed="false">
      <c r="I814" s="20"/>
    </row>
    <row r="815" customFormat="false" ht="15" hidden="false" customHeight="false" outlineLevel="0" collapsed="false">
      <c r="I815" s="20"/>
    </row>
    <row r="816" customFormat="false" ht="15" hidden="false" customHeight="false" outlineLevel="0" collapsed="false">
      <c r="I816" s="20"/>
    </row>
    <row r="817" customFormat="false" ht="15" hidden="false" customHeight="false" outlineLevel="0" collapsed="false">
      <c r="I817" s="20"/>
    </row>
    <row r="818" customFormat="false" ht="15" hidden="false" customHeight="false" outlineLevel="0" collapsed="false">
      <c r="I818" s="20"/>
    </row>
    <row r="819" customFormat="false" ht="15" hidden="false" customHeight="false" outlineLevel="0" collapsed="false">
      <c r="I819" s="20"/>
    </row>
    <row r="820" customFormat="false" ht="15" hidden="false" customHeight="false" outlineLevel="0" collapsed="false">
      <c r="I820" s="20"/>
    </row>
    <row r="821" customFormat="false" ht="15" hidden="false" customHeight="false" outlineLevel="0" collapsed="false">
      <c r="I821" s="20"/>
    </row>
    <row r="822" customFormat="false" ht="15" hidden="false" customHeight="false" outlineLevel="0" collapsed="false">
      <c r="I822" s="20"/>
    </row>
    <row r="823" customFormat="false" ht="15" hidden="false" customHeight="false" outlineLevel="0" collapsed="false">
      <c r="I823" s="20"/>
    </row>
    <row r="824" customFormat="false" ht="15" hidden="false" customHeight="false" outlineLevel="0" collapsed="false">
      <c r="I824" s="20"/>
    </row>
    <row r="825" customFormat="false" ht="15" hidden="false" customHeight="false" outlineLevel="0" collapsed="false">
      <c r="I825" s="20"/>
    </row>
    <row r="826" customFormat="false" ht="15" hidden="false" customHeight="false" outlineLevel="0" collapsed="false">
      <c r="I826" s="20"/>
    </row>
    <row r="827" customFormat="false" ht="15" hidden="false" customHeight="false" outlineLevel="0" collapsed="false">
      <c r="I827" s="20"/>
    </row>
    <row r="828" customFormat="false" ht="15" hidden="false" customHeight="false" outlineLevel="0" collapsed="false">
      <c r="I828" s="20"/>
    </row>
    <row r="829" customFormat="false" ht="15" hidden="false" customHeight="false" outlineLevel="0" collapsed="false">
      <c r="I829" s="20"/>
    </row>
    <row r="830" customFormat="false" ht="15" hidden="false" customHeight="false" outlineLevel="0" collapsed="false">
      <c r="I830" s="20"/>
    </row>
    <row r="831" customFormat="false" ht="15" hidden="false" customHeight="false" outlineLevel="0" collapsed="false">
      <c r="I831" s="20"/>
    </row>
    <row r="832" customFormat="false" ht="15" hidden="false" customHeight="false" outlineLevel="0" collapsed="false">
      <c r="I832" s="20"/>
    </row>
    <row r="833" customFormat="false" ht="15" hidden="false" customHeight="false" outlineLevel="0" collapsed="false">
      <c r="I833" s="20"/>
    </row>
    <row r="834" customFormat="false" ht="15" hidden="false" customHeight="false" outlineLevel="0" collapsed="false">
      <c r="I834" s="20"/>
    </row>
    <row r="835" customFormat="false" ht="15" hidden="false" customHeight="false" outlineLevel="0" collapsed="false">
      <c r="I835" s="20"/>
    </row>
    <row r="836" customFormat="false" ht="15" hidden="false" customHeight="false" outlineLevel="0" collapsed="false">
      <c r="I836" s="20"/>
    </row>
    <row r="837" customFormat="false" ht="15" hidden="false" customHeight="false" outlineLevel="0" collapsed="false">
      <c r="I837" s="20"/>
    </row>
    <row r="838" customFormat="false" ht="15" hidden="false" customHeight="false" outlineLevel="0" collapsed="false">
      <c r="I838" s="20"/>
    </row>
    <row r="839" customFormat="false" ht="15" hidden="false" customHeight="false" outlineLevel="0" collapsed="false">
      <c r="I839" s="20"/>
    </row>
    <row r="840" customFormat="false" ht="15" hidden="false" customHeight="false" outlineLevel="0" collapsed="false">
      <c r="I840" s="20"/>
    </row>
    <row r="841" customFormat="false" ht="15" hidden="false" customHeight="false" outlineLevel="0" collapsed="false">
      <c r="I841" s="20"/>
    </row>
    <row r="842" customFormat="false" ht="15" hidden="false" customHeight="false" outlineLevel="0" collapsed="false">
      <c r="I842" s="20"/>
    </row>
    <row r="843" customFormat="false" ht="15" hidden="false" customHeight="false" outlineLevel="0" collapsed="false">
      <c r="I843" s="20"/>
    </row>
    <row r="844" customFormat="false" ht="15" hidden="false" customHeight="false" outlineLevel="0" collapsed="false">
      <c r="I844" s="20"/>
    </row>
    <row r="845" customFormat="false" ht="15" hidden="false" customHeight="false" outlineLevel="0" collapsed="false">
      <c r="I845" s="20"/>
    </row>
    <row r="846" customFormat="false" ht="15" hidden="false" customHeight="false" outlineLevel="0" collapsed="false">
      <c r="I846" s="20"/>
    </row>
    <row r="847" customFormat="false" ht="15" hidden="false" customHeight="false" outlineLevel="0" collapsed="false">
      <c r="I847" s="20"/>
    </row>
    <row r="848" customFormat="false" ht="15" hidden="false" customHeight="false" outlineLevel="0" collapsed="false">
      <c r="I848" s="20"/>
    </row>
    <row r="849" customFormat="false" ht="15" hidden="false" customHeight="false" outlineLevel="0" collapsed="false">
      <c r="I849" s="20"/>
    </row>
    <row r="850" customFormat="false" ht="15" hidden="false" customHeight="false" outlineLevel="0" collapsed="false">
      <c r="I850" s="20"/>
    </row>
    <row r="851" customFormat="false" ht="15" hidden="false" customHeight="false" outlineLevel="0" collapsed="false">
      <c r="I851" s="20"/>
    </row>
    <row r="852" customFormat="false" ht="15" hidden="false" customHeight="false" outlineLevel="0" collapsed="false">
      <c r="I852" s="20"/>
    </row>
    <row r="853" customFormat="false" ht="15" hidden="false" customHeight="false" outlineLevel="0" collapsed="false">
      <c r="I853" s="20"/>
    </row>
    <row r="854" customFormat="false" ht="15" hidden="false" customHeight="false" outlineLevel="0" collapsed="false">
      <c r="I854" s="20"/>
    </row>
    <row r="855" customFormat="false" ht="15" hidden="false" customHeight="false" outlineLevel="0" collapsed="false">
      <c r="I855" s="20"/>
    </row>
    <row r="856" customFormat="false" ht="15" hidden="false" customHeight="false" outlineLevel="0" collapsed="false">
      <c r="I856" s="20"/>
    </row>
    <row r="857" customFormat="false" ht="15" hidden="false" customHeight="false" outlineLevel="0" collapsed="false">
      <c r="I857" s="20"/>
    </row>
    <row r="858" customFormat="false" ht="15" hidden="false" customHeight="false" outlineLevel="0" collapsed="false">
      <c r="I858" s="20"/>
    </row>
    <row r="859" customFormat="false" ht="15" hidden="false" customHeight="false" outlineLevel="0" collapsed="false">
      <c r="I859" s="20"/>
    </row>
    <row r="860" customFormat="false" ht="15" hidden="false" customHeight="false" outlineLevel="0" collapsed="false">
      <c r="I860" s="20"/>
    </row>
    <row r="861" customFormat="false" ht="15" hidden="false" customHeight="false" outlineLevel="0" collapsed="false">
      <c r="I861" s="20"/>
    </row>
    <row r="862" customFormat="false" ht="15" hidden="false" customHeight="false" outlineLevel="0" collapsed="false">
      <c r="I862" s="20"/>
    </row>
    <row r="863" customFormat="false" ht="15" hidden="false" customHeight="false" outlineLevel="0" collapsed="false">
      <c r="I863" s="20"/>
    </row>
    <row r="864" customFormat="false" ht="15" hidden="false" customHeight="false" outlineLevel="0" collapsed="false">
      <c r="I864" s="20"/>
    </row>
    <row r="865" customFormat="false" ht="15" hidden="false" customHeight="false" outlineLevel="0" collapsed="false">
      <c r="I865" s="20"/>
    </row>
    <row r="866" customFormat="false" ht="15" hidden="false" customHeight="false" outlineLevel="0" collapsed="false">
      <c r="I866" s="20"/>
    </row>
    <row r="867" customFormat="false" ht="15" hidden="false" customHeight="false" outlineLevel="0" collapsed="false">
      <c r="I867" s="20"/>
    </row>
    <row r="868" customFormat="false" ht="15" hidden="false" customHeight="false" outlineLevel="0" collapsed="false">
      <c r="I868" s="20"/>
    </row>
    <row r="869" customFormat="false" ht="15" hidden="false" customHeight="false" outlineLevel="0" collapsed="false">
      <c r="I869" s="20"/>
    </row>
    <row r="870" customFormat="false" ht="15" hidden="false" customHeight="false" outlineLevel="0" collapsed="false">
      <c r="I870" s="20"/>
    </row>
    <row r="871" customFormat="false" ht="15" hidden="false" customHeight="false" outlineLevel="0" collapsed="false">
      <c r="I871" s="20"/>
    </row>
    <row r="872" customFormat="false" ht="15" hidden="false" customHeight="false" outlineLevel="0" collapsed="false">
      <c r="I872" s="20"/>
    </row>
    <row r="873" customFormat="false" ht="15" hidden="false" customHeight="false" outlineLevel="0" collapsed="false">
      <c r="I873" s="20"/>
    </row>
    <row r="874" customFormat="false" ht="15" hidden="false" customHeight="false" outlineLevel="0" collapsed="false">
      <c r="I874" s="20"/>
    </row>
    <row r="875" customFormat="false" ht="15" hidden="false" customHeight="false" outlineLevel="0" collapsed="false">
      <c r="I875" s="20"/>
    </row>
    <row r="876" customFormat="false" ht="15" hidden="false" customHeight="false" outlineLevel="0" collapsed="false">
      <c r="I876" s="20"/>
    </row>
    <row r="877" customFormat="false" ht="15" hidden="false" customHeight="false" outlineLevel="0" collapsed="false">
      <c r="I877" s="20"/>
    </row>
    <row r="878" customFormat="false" ht="15" hidden="false" customHeight="false" outlineLevel="0" collapsed="false">
      <c r="I878" s="20"/>
    </row>
    <row r="879" customFormat="false" ht="15" hidden="false" customHeight="false" outlineLevel="0" collapsed="false">
      <c r="I879" s="20"/>
    </row>
    <row r="880" customFormat="false" ht="15" hidden="false" customHeight="false" outlineLevel="0" collapsed="false">
      <c r="I880" s="20"/>
    </row>
    <row r="881" customFormat="false" ht="15" hidden="false" customHeight="false" outlineLevel="0" collapsed="false">
      <c r="I881" s="20"/>
    </row>
    <row r="882" customFormat="false" ht="15" hidden="false" customHeight="false" outlineLevel="0" collapsed="false">
      <c r="I882" s="20"/>
    </row>
    <row r="883" customFormat="false" ht="15" hidden="false" customHeight="false" outlineLevel="0" collapsed="false">
      <c r="I883" s="20"/>
    </row>
    <row r="884" customFormat="false" ht="15" hidden="false" customHeight="false" outlineLevel="0" collapsed="false">
      <c r="I884" s="20"/>
    </row>
    <row r="885" customFormat="false" ht="15" hidden="false" customHeight="false" outlineLevel="0" collapsed="false">
      <c r="I885" s="20"/>
    </row>
    <row r="886" customFormat="false" ht="15" hidden="false" customHeight="false" outlineLevel="0" collapsed="false">
      <c r="I886" s="20"/>
    </row>
    <row r="887" customFormat="false" ht="15" hidden="false" customHeight="false" outlineLevel="0" collapsed="false">
      <c r="I887" s="20"/>
    </row>
    <row r="888" customFormat="false" ht="15" hidden="false" customHeight="false" outlineLevel="0" collapsed="false">
      <c r="I888" s="20"/>
    </row>
    <row r="889" customFormat="false" ht="15" hidden="false" customHeight="false" outlineLevel="0" collapsed="false">
      <c r="I889" s="20"/>
    </row>
    <row r="890" customFormat="false" ht="15" hidden="false" customHeight="false" outlineLevel="0" collapsed="false">
      <c r="I890" s="20"/>
    </row>
    <row r="891" customFormat="false" ht="15" hidden="false" customHeight="false" outlineLevel="0" collapsed="false">
      <c r="I891" s="20"/>
    </row>
    <row r="892" customFormat="false" ht="15" hidden="false" customHeight="false" outlineLevel="0" collapsed="false">
      <c r="I892" s="20"/>
    </row>
    <row r="893" customFormat="false" ht="15" hidden="false" customHeight="false" outlineLevel="0" collapsed="false">
      <c r="I893" s="20"/>
    </row>
    <row r="894" customFormat="false" ht="15" hidden="false" customHeight="false" outlineLevel="0" collapsed="false">
      <c r="I894" s="20"/>
    </row>
    <row r="895" customFormat="false" ht="15" hidden="false" customHeight="false" outlineLevel="0" collapsed="false">
      <c r="I895" s="20"/>
    </row>
    <row r="896" customFormat="false" ht="15" hidden="false" customHeight="false" outlineLevel="0" collapsed="false">
      <c r="I896" s="20"/>
    </row>
    <row r="897" customFormat="false" ht="15" hidden="false" customHeight="false" outlineLevel="0" collapsed="false">
      <c r="I897" s="20"/>
    </row>
    <row r="898" customFormat="false" ht="15" hidden="false" customHeight="false" outlineLevel="0" collapsed="false">
      <c r="I898" s="20"/>
    </row>
    <row r="899" customFormat="false" ht="15" hidden="false" customHeight="false" outlineLevel="0" collapsed="false">
      <c r="I899" s="20"/>
    </row>
    <row r="900" customFormat="false" ht="15" hidden="false" customHeight="false" outlineLevel="0" collapsed="false">
      <c r="I900" s="20"/>
    </row>
    <row r="901" customFormat="false" ht="15" hidden="false" customHeight="false" outlineLevel="0" collapsed="false">
      <c r="I901" s="20"/>
    </row>
    <row r="902" customFormat="false" ht="15" hidden="false" customHeight="false" outlineLevel="0" collapsed="false">
      <c r="I902" s="20"/>
    </row>
    <row r="903" customFormat="false" ht="15" hidden="false" customHeight="false" outlineLevel="0" collapsed="false">
      <c r="I903" s="20"/>
    </row>
    <row r="904" customFormat="false" ht="15" hidden="false" customHeight="false" outlineLevel="0" collapsed="false">
      <c r="I904" s="20"/>
    </row>
    <row r="905" customFormat="false" ht="15" hidden="false" customHeight="false" outlineLevel="0" collapsed="false">
      <c r="I905" s="20"/>
    </row>
    <row r="906" customFormat="false" ht="15" hidden="false" customHeight="false" outlineLevel="0" collapsed="false">
      <c r="I906" s="20"/>
    </row>
    <row r="907" customFormat="false" ht="15" hidden="false" customHeight="false" outlineLevel="0" collapsed="false">
      <c r="I907" s="20"/>
    </row>
    <row r="908" customFormat="false" ht="15" hidden="false" customHeight="false" outlineLevel="0" collapsed="false">
      <c r="I908" s="20"/>
    </row>
    <row r="909" customFormat="false" ht="15" hidden="false" customHeight="false" outlineLevel="0" collapsed="false">
      <c r="I909" s="20"/>
    </row>
    <row r="910" customFormat="false" ht="15" hidden="false" customHeight="false" outlineLevel="0" collapsed="false">
      <c r="I910" s="20"/>
    </row>
    <row r="911" customFormat="false" ht="15" hidden="false" customHeight="false" outlineLevel="0" collapsed="false">
      <c r="I911" s="20"/>
    </row>
    <row r="912" customFormat="false" ht="15" hidden="false" customHeight="false" outlineLevel="0" collapsed="false">
      <c r="I912" s="20"/>
    </row>
    <row r="913" customFormat="false" ht="15" hidden="false" customHeight="false" outlineLevel="0" collapsed="false">
      <c r="I913" s="20"/>
    </row>
    <row r="914" customFormat="false" ht="15" hidden="false" customHeight="false" outlineLevel="0" collapsed="false">
      <c r="I914" s="20"/>
    </row>
    <row r="915" customFormat="false" ht="15" hidden="false" customHeight="false" outlineLevel="0" collapsed="false">
      <c r="I915" s="20"/>
    </row>
    <row r="916" customFormat="false" ht="15" hidden="false" customHeight="false" outlineLevel="0" collapsed="false">
      <c r="I916" s="20"/>
    </row>
    <row r="917" customFormat="false" ht="15" hidden="false" customHeight="false" outlineLevel="0" collapsed="false">
      <c r="I917" s="20"/>
    </row>
    <row r="918" customFormat="false" ht="15" hidden="false" customHeight="false" outlineLevel="0" collapsed="false">
      <c r="I918" s="20"/>
    </row>
    <row r="919" customFormat="false" ht="15" hidden="false" customHeight="false" outlineLevel="0" collapsed="false">
      <c r="I919" s="20"/>
    </row>
    <row r="920" customFormat="false" ht="15" hidden="false" customHeight="false" outlineLevel="0" collapsed="false">
      <c r="I920" s="20"/>
    </row>
    <row r="921" customFormat="false" ht="15" hidden="false" customHeight="false" outlineLevel="0" collapsed="false">
      <c r="I921" s="20"/>
    </row>
    <row r="922" customFormat="false" ht="15" hidden="false" customHeight="false" outlineLevel="0" collapsed="false">
      <c r="I922" s="20"/>
    </row>
    <row r="923" customFormat="false" ht="15" hidden="false" customHeight="false" outlineLevel="0" collapsed="false">
      <c r="I923" s="20"/>
    </row>
    <row r="924" customFormat="false" ht="15" hidden="false" customHeight="false" outlineLevel="0" collapsed="false">
      <c r="I924" s="20"/>
    </row>
    <row r="925" customFormat="false" ht="15" hidden="false" customHeight="false" outlineLevel="0" collapsed="false">
      <c r="I925" s="20"/>
    </row>
    <row r="926" customFormat="false" ht="15" hidden="false" customHeight="false" outlineLevel="0" collapsed="false">
      <c r="I926" s="20"/>
    </row>
    <row r="927" customFormat="false" ht="15" hidden="false" customHeight="false" outlineLevel="0" collapsed="false">
      <c r="I927" s="20"/>
    </row>
    <row r="928" customFormat="false" ht="15" hidden="false" customHeight="false" outlineLevel="0" collapsed="false">
      <c r="I928" s="20"/>
    </row>
    <row r="929" customFormat="false" ht="15" hidden="false" customHeight="false" outlineLevel="0" collapsed="false">
      <c r="I929" s="20"/>
    </row>
    <row r="930" customFormat="false" ht="15" hidden="false" customHeight="false" outlineLevel="0" collapsed="false">
      <c r="I930" s="20"/>
    </row>
    <row r="931" customFormat="false" ht="15" hidden="false" customHeight="false" outlineLevel="0" collapsed="false">
      <c r="I931" s="20"/>
    </row>
    <row r="932" customFormat="false" ht="15" hidden="false" customHeight="false" outlineLevel="0" collapsed="false">
      <c r="I932" s="20"/>
    </row>
    <row r="933" customFormat="false" ht="15" hidden="false" customHeight="false" outlineLevel="0" collapsed="false">
      <c r="I933" s="20"/>
    </row>
    <row r="934" customFormat="false" ht="15" hidden="false" customHeight="false" outlineLevel="0" collapsed="false">
      <c r="I934" s="20"/>
    </row>
    <row r="935" customFormat="false" ht="15" hidden="false" customHeight="false" outlineLevel="0" collapsed="false">
      <c r="I935" s="20"/>
    </row>
    <row r="936" customFormat="false" ht="15" hidden="false" customHeight="false" outlineLevel="0" collapsed="false">
      <c r="I936" s="20"/>
    </row>
    <row r="937" customFormat="false" ht="15" hidden="false" customHeight="false" outlineLevel="0" collapsed="false">
      <c r="I937" s="20"/>
    </row>
    <row r="938" customFormat="false" ht="15" hidden="false" customHeight="false" outlineLevel="0" collapsed="false">
      <c r="I938" s="20"/>
    </row>
    <row r="939" customFormat="false" ht="15" hidden="false" customHeight="false" outlineLevel="0" collapsed="false">
      <c r="I939" s="20"/>
    </row>
    <row r="940" customFormat="false" ht="15" hidden="false" customHeight="false" outlineLevel="0" collapsed="false">
      <c r="I940" s="20"/>
    </row>
    <row r="941" customFormat="false" ht="15" hidden="false" customHeight="false" outlineLevel="0" collapsed="false">
      <c r="I941" s="20"/>
    </row>
    <row r="942" customFormat="false" ht="15" hidden="false" customHeight="false" outlineLevel="0" collapsed="false">
      <c r="I942" s="20"/>
    </row>
    <row r="943" customFormat="false" ht="15" hidden="false" customHeight="false" outlineLevel="0" collapsed="false">
      <c r="I943" s="20"/>
    </row>
    <row r="944" customFormat="false" ht="15" hidden="false" customHeight="false" outlineLevel="0" collapsed="false">
      <c r="I944" s="20"/>
    </row>
    <row r="945" customFormat="false" ht="15" hidden="false" customHeight="false" outlineLevel="0" collapsed="false">
      <c r="I945" s="20"/>
    </row>
    <row r="946" customFormat="false" ht="15" hidden="false" customHeight="false" outlineLevel="0" collapsed="false">
      <c r="I946" s="20"/>
    </row>
    <row r="947" customFormat="false" ht="15" hidden="false" customHeight="false" outlineLevel="0" collapsed="false">
      <c r="I947" s="20"/>
    </row>
    <row r="948" customFormat="false" ht="15" hidden="false" customHeight="false" outlineLevel="0" collapsed="false">
      <c r="I948" s="20"/>
    </row>
    <row r="949" customFormat="false" ht="15" hidden="false" customHeight="false" outlineLevel="0" collapsed="false">
      <c r="I949" s="20"/>
    </row>
    <row r="950" customFormat="false" ht="15" hidden="false" customHeight="false" outlineLevel="0" collapsed="false">
      <c r="I950" s="20"/>
    </row>
    <row r="951" customFormat="false" ht="15" hidden="false" customHeight="false" outlineLevel="0" collapsed="false">
      <c r="I951" s="20"/>
    </row>
    <row r="952" customFormat="false" ht="15" hidden="false" customHeight="false" outlineLevel="0" collapsed="false">
      <c r="I952" s="20"/>
    </row>
    <row r="953" customFormat="false" ht="15" hidden="false" customHeight="false" outlineLevel="0" collapsed="false">
      <c r="I953" s="20"/>
    </row>
    <row r="954" customFormat="false" ht="15" hidden="false" customHeight="false" outlineLevel="0" collapsed="false">
      <c r="I954" s="20"/>
    </row>
    <row r="955" customFormat="false" ht="15" hidden="false" customHeight="false" outlineLevel="0" collapsed="false">
      <c r="I955" s="20"/>
    </row>
    <row r="956" customFormat="false" ht="15" hidden="false" customHeight="false" outlineLevel="0" collapsed="false">
      <c r="I956" s="20"/>
    </row>
    <row r="957" customFormat="false" ht="15" hidden="false" customHeight="false" outlineLevel="0" collapsed="false">
      <c r="I957" s="20"/>
    </row>
    <row r="958" customFormat="false" ht="15" hidden="false" customHeight="false" outlineLevel="0" collapsed="false">
      <c r="I958" s="20"/>
    </row>
    <row r="959" customFormat="false" ht="15" hidden="false" customHeight="false" outlineLevel="0" collapsed="false">
      <c r="I959" s="20"/>
    </row>
    <row r="960" customFormat="false" ht="15" hidden="false" customHeight="false" outlineLevel="0" collapsed="false">
      <c r="I960" s="20"/>
    </row>
    <row r="961" customFormat="false" ht="15" hidden="false" customHeight="false" outlineLevel="0" collapsed="false">
      <c r="I961" s="20"/>
    </row>
    <row r="962" customFormat="false" ht="15" hidden="false" customHeight="false" outlineLevel="0" collapsed="false">
      <c r="I962" s="20"/>
    </row>
    <row r="963" customFormat="false" ht="15" hidden="false" customHeight="false" outlineLevel="0" collapsed="false">
      <c r="I963" s="20"/>
    </row>
    <row r="964" customFormat="false" ht="15" hidden="false" customHeight="false" outlineLevel="0" collapsed="false">
      <c r="I964" s="20"/>
    </row>
    <row r="965" customFormat="false" ht="15" hidden="false" customHeight="false" outlineLevel="0" collapsed="false">
      <c r="I965" s="20"/>
    </row>
    <row r="966" customFormat="false" ht="15" hidden="false" customHeight="false" outlineLevel="0" collapsed="false">
      <c r="I966" s="20"/>
    </row>
    <row r="967" customFormat="false" ht="15" hidden="false" customHeight="false" outlineLevel="0" collapsed="false">
      <c r="I967" s="20"/>
    </row>
    <row r="968" customFormat="false" ht="15" hidden="false" customHeight="false" outlineLevel="0" collapsed="false">
      <c r="I968" s="20"/>
    </row>
    <row r="969" customFormat="false" ht="15" hidden="false" customHeight="false" outlineLevel="0" collapsed="false">
      <c r="I969" s="20"/>
    </row>
    <row r="970" customFormat="false" ht="15" hidden="false" customHeight="false" outlineLevel="0" collapsed="false">
      <c r="I970" s="20"/>
    </row>
    <row r="971" customFormat="false" ht="15" hidden="false" customHeight="false" outlineLevel="0" collapsed="false">
      <c r="I971" s="20"/>
    </row>
    <row r="972" customFormat="false" ht="15" hidden="false" customHeight="false" outlineLevel="0" collapsed="false">
      <c r="I972" s="20"/>
    </row>
    <row r="973" customFormat="false" ht="15" hidden="false" customHeight="false" outlineLevel="0" collapsed="false">
      <c r="I973" s="20"/>
    </row>
    <row r="974" customFormat="false" ht="15" hidden="false" customHeight="false" outlineLevel="0" collapsed="false">
      <c r="I974" s="20"/>
    </row>
    <row r="975" customFormat="false" ht="15" hidden="false" customHeight="false" outlineLevel="0" collapsed="false">
      <c r="I975" s="20"/>
    </row>
    <row r="976" customFormat="false" ht="15" hidden="false" customHeight="false" outlineLevel="0" collapsed="false">
      <c r="I976" s="20"/>
    </row>
    <row r="977" customFormat="false" ht="15" hidden="false" customHeight="false" outlineLevel="0" collapsed="false">
      <c r="I977" s="20"/>
    </row>
    <row r="978" customFormat="false" ht="15" hidden="false" customHeight="false" outlineLevel="0" collapsed="false">
      <c r="I978" s="20"/>
    </row>
    <row r="979" customFormat="false" ht="15" hidden="false" customHeight="false" outlineLevel="0" collapsed="false">
      <c r="I979" s="20"/>
    </row>
    <row r="980" customFormat="false" ht="15" hidden="false" customHeight="false" outlineLevel="0" collapsed="false">
      <c r="I980" s="20"/>
    </row>
    <row r="981" customFormat="false" ht="15" hidden="false" customHeight="false" outlineLevel="0" collapsed="false">
      <c r="I981" s="20"/>
    </row>
    <row r="982" customFormat="false" ht="15" hidden="false" customHeight="false" outlineLevel="0" collapsed="false">
      <c r="I982" s="20"/>
    </row>
    <row r="983" customFormat="false" ht="15" hidden="false" customHeight="false" outlineLevel="0" collapsed="false">
      <c r="I983" s="20"/>
    </row>
    <row r="984" customFormat="false" ht="15" hidden="false" customHeight="false" outlineLevel="0" collapsed="false">
      <c r="I984" s="20"/>
    </row>
    <row r="985" customFormat="false" ht="15" hidden="false" customHeight="false" outlineLevel="0" collapsed="false">
      <c r="I985" s="20"/>
    </row>
    <row r="986" customFormat="false" ht="15" hidden="false" customHeight="false" outlineLevel="0" collapsed="false">
      <c r="I986" s="20"/>
    </row>
    <row r="987" customFormat="false" ht="15" hidden="false" customHeight="false" outlineLevel="0" collapsed="false">
      <c r="I987" s="20"/>
    </row>
    <row r="988" customFormat="false" ht="15" hidden="false" customHeight="false" outlineLevel="0" collapsed="false">
      <c r="I988" s="20"/>
    </row>
    <row r="989" customFormat="false" ht="15" hidden="false" customHeight="false" outlineLevel="0" collapsed="false">
      <c r="I989" s="20"/>
    </row>
    <row r="990" customFormat="false" ht="15" hidden="false" customHeight="false" outlineLevel="0" collapsed="false">
      <c r="I990" s="20"/>
    </row>
    <row r="991" customFormat="false" ht="15" hidden="false" customHeight="false" outlineLevel="0" collapsed="false">
      <c r="I991" s="20"/>
    </row>
    <row r="992" customFormat="false" ht="15" hidden="false" customHeight="false" outlineLevel="0" collapsed="false">
      <c r="I992" s="20"/>
    </row>
    <row r="993" customFormat="false" ht="15" hidden="false" customHeight="false" outlineLevel="0" collapsed="false">
      <c r="I993" s="20"/>
    </row>
    <row r="994" customFormat="false" ht="15" hidden="false" customHeight="false" outlineLevel="0" collapsed="false">
      <c r="I994" s="20"/>
    </row>
    <row r="995" customFormat="false" ht="15" hidden="false" customHeight="false" outlineLevel="0" collapsed="false">
      <c r="I995" s="20"/>
    </row>
    <row r="996" customFormat="false" ht="15" hidden="false" customHeight="false" outlineLevel="0" collapsed="false">
      <c r="I996" s="20"/>
    </row>
    <row r="997" customFormat="false" ht="15" hidden="false" customHeight="false" outlineLevel="0" collapsed="false">
      <c r="I997" s="20"/>
    </row>
    <row r="998" customFormat="false" ht="15" hidden="false" customHeight="false" outlineLevel="0" collapsed="false">
      <c r="I998" s="20"/>
    </row>
    <row r="999" customFormat="false" ht="15" hidden="false" customHeight="false" outlineLevel="0" collapsed="false">
      <c r="I999" s="20"/>
    </row>
    <row r="1000" customFormat="false" ht="15" hidden="false" customHeight="false" outlineLevel="0" collapsed="false">
      <c r="I1000" s="20"/>
    </row>
  </sheetData>
  <autoFilter ref="A1:U68"/>
  <dataValidations count="1">
    <dataValidation allowBlank="true" errorStyle="stop" operator="between" showDropDown="false" showErrorMessage="false" showInputMessage="false" sqref="I2:I1000" type="list">
      <formula1>"Done,Now,Locked"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
    <col collapsed="false" customWidth="true" hidden="false" outlineLevel="0" max="3" min="3" style="1" width="14"/>
    <col collapsed="false" customWidth="true" hidden="false" outlineLevel="0" max="4" min="4" style="1" width="8"/>
    <col collapsed="false" customWidth="true" hidden="false" outlineLevel="0" max="12" min="5" style="1" width="30"/>
  </cols>
  <sheetData>
    <row r="1" customFormat="false" ht="31.5" hidden="false" customHeight="true" outlineLevel="0" collapsed="false">
      <c r="A1" s="7" t="s">
        <v>41</v>
      </c>
      <c r="B1" s="7" t="s">
        <v>358</v>
      </c>
      <c r="C1" s="7" t="s">
        <v>359</v>
      </c>
      <c r="D1" s="7" t="s">
        <v>365</v>
      </c>
      <c r="E1" s="7" t="s">
        <v>1133</v>
      </c>
      <c r="F1" s="7" t="s">
        <v>1134</v>
      </c>
      <c r="G1" s="7" t="s">
        <v>1135</v>
      </c>
      <c r="H1" s="7" t="s">
        <v>1136</v>
      </c>
      <c r="I1" s="7" t="s">
        <v>1137</v>
      </c>
      <c r="J1" s="7" t="s">
        <v>1138</v>
      </c>
      <c r="K1" s="7" t="s">
        <v>1139</v>
      </c>
      <c r="L1" s="7" t="s">
        <v>1140</v>
      </c>
    </row>
    <row r="2" customFormat="false" ht="23.25" hidden="false" customHeight="true" outlineLevel="0" collapsed="false">
      <c r="A2" s="9" t="s">
        <v>67</v>
      </c>
      <c r="B2" s="9" t="n">
        <v>1</v>
      </c>
      <c r="C2" s="9" t="s">
        <v>376</v>
      </c>
      <c r="D2" s="9" t="s">
        <v>379</v>
      </c>
      <c r="E2" s="9"/>
      <c r="F2" s="9" t="s">
        <v>1141</v>
      </c>
      <c r="G2" s="9" t="s">
        <v>1142</v>
      </c>
      <c r="H2" s="9" t="s">
        <v>1143</v>
      </c>
      <c r="I2" s="9" t="s">
        <v>1144</v>
      </c>
      <c r="J2" s="9"/>
      <c r="K2" s="9"/>
      <c r="L2" s="9" t="s">
        <v>1145</v>
      </c>
    </row>
    <row r="3" customFormat="false" ht="15" hidden="false" customHeight="true" outlineLevel="0" collapsed="false">
      <c r="A3" s="9" t="s">
        <v>67</v>
      </c>
      <c r="B3" s="9" t="n">
        <v>2</v>
      </c>
      <c r="C3" s="9" t="s">
        <v>389</v>
      </c>
      <c r="D3" s="9" t="s">
        <v>379</v>
      </c>
      <c r="E3" s="9" t="s">
        <v>1146</v>
      </c>
      <c r="F3" s="9"/>
      <c r="G3" s="9" t="s">
        <v>1147</v>
      </c>
      <c r="H3" s="9" t="s">
        <v>1148</v>
      </c>
      <c r="I3" s="9" t="s">
        <v>1149</v>
      </c>
      <c r="J3" s="9" t="s">
        <v>1150</v>
      </c>
      <c r="K3" s="9"/>
      <c r="L3" s="9"/>
    </row>
    <row r="4" customFormat="false" ht="23.25" hidden="false" customHeight="true" outlineLevel="0" collapsed="false">
      <c r="A4" s="9" t="s">
        <v>67</v>
      </c>
      <c r="B4" s="9" t="n">
        <v>3</v>
      </c>
      <c r="C4" s="9" t="s">
        <v>401</v>
      </c>
      <c r="D4" s="9" t="s">
        <v>404</v>
      </c>
      <c r="E4" s="9" t="s">
        <v>1151</v>
      </c>
      <c r="F4" s="9" t="s">
        <v>1152</v>
      </c>
      <c r="G4" s="9" t="s">
        <v>1153</v>
      </c>
      <c r="H4" s="9" t="s">
        <v>1154</v>
      </c>
      <c r="I4" s="9" t="s">
        <v>1155</v>
      </c>
      <c r="J4" s="9" t="s">
        <v>1156</v>
      </c>
      <c r="K4" s="9" t="s">
        <v>1157</v>
      </c>
      <c r="L4" s="9" t="s">
        <v>1158</v>
      </c>
    </row>
    <row r="5" customFormat="false" ht="15" hidden="false" customHeight="true" outlineLevel="0" collapsed="false">
      <c r="A5" s="9" t="s">
        <v>67</v>
      </c>
      <c r="B5" s="9" t="n">
        <v>4</v>
      </c>
      <c r="C5" s="9" t="s">
        <v>414</v>
      </c>
      <c r="D5" s="9" t="s">
        <v>417</v>
      </c>
      <c r="E5" s="9" t="s">
        <v>1159</v>
      </c>
      <c r="F5" s="9" t="s">
        <v>1160</v>
      </c>
      <c r="G5" s="9"/>
      <c r="H5" s="9"/>
      <c r="I5" s="9" t="s">
        <v>1161</v>
      </c>
      <c r="J5" s="9" t="s">
        <v>1162</v>
      </c>
      <c r="K5" s="9" t="s">
        <v>1163</v>
      </c>
      <c r="L5" s="9"/>
    </row>
    <row r="6" customFormat="false" ht="15" hidden="false" customHeight="true" outlineLevel="0" collapsed="false">
      <c r="A6" s="9" t="s">
        <v>67</v>
      </c>
      <c r="B6" s="9" t="n">
        <v>5</v>
      </c>
      <c r="C6" s="9" t="s">
        <v>427</v>
      </c>
      <c r="D6" s="9" t="s">
        <v>417</v>
      </c>
      <c r="E6" s="9" t="s">
        <v>1164</v>
      </c>
      <c r="F6" s="9" t="s">
        <v>1165</v>
      </c>
      <c r="G6" s="9" t="s">
        <v>1166</v>
      </c>
      <c r="H6" s="9"/>
      <c r="I6" s="9"/>
      <c r="J6" s="9" t="s">
        <v>1167</v>
      </c>
      <c r="K6" s="9" t="s">
        <v>1168</v>
      </c>
      <c r="L6" s="9"/>
    </row>
    <row r="7" customFormat="false" ht="23.25" hidden="false" customHeight="true" outlineLevel="0" collapsed="false">
      <c r="A7" s="9" t="s">
        <v>87</v>
      </c>
      <c r="B7" s="9" t="n">
        <v>1</v>
      </c>
      <c r="C7" s="9" t="s">
        <v>829</v>
      </c>
      <c r="D7" s="9" t="s">
        <v>404</v>
      </c>
      <c r="E7" s="9" t="s">
        <v>1169</v>
      </c>
      <c r="F7" s="9" t="s">
        <v>1170</v>
      </c>
      <c r="G7" s="9" t="s">
        <v>1171</v>
      </c>
      <c r="H7" s="9" t="s">
        <v>1172</v>
      </c>
      <c r="I7" s="9" t="s">
        <v>1173</v>
      </c>
      <c r="J7" s="9" t="s">
        <v>1174</v>
      </c>
      <c r="K7" s="9" t="s">
        <v>1175</v>
      </c>
      <c r="L7" s="9" t="s">
        <v>1176</v>
      </c>
    </row>
    <row r="8" customFormat="false" ht="23.25" hidden="false" customHeight="true" outlineLevel="0" collapsed="false">
      <c r="A8" s="9" t="s">
        <v>87</v>
      </c>
      <c r="B8" s="9" t="n">
        <v>2</v>
      </c>
      <c r="C8" s="9" t="s">
        <v>450</v>
      </c>
      <c r="D8" s="9" t="s">
        <v>417</v>
      </c>
      <c r="E8" s="9"/>
      <c r="F8" s="9" t="s">
        <v>1177</v>
      </c>
      <c r="G8" s="9" t="s">
        <v>1178</v>
      </c>
      <c r="H8" s="9" t="s">
        <v>1179</v>
      </c>
      <c r="I8" s="9" t="s">
        <v>1180</v>
      </c>
      <c r="J8" s="9" t="s">
        <v>1181</v>
      </c>
      <c r="K8" s="9" t="s">
        <v>1182</v>
      </c>
      <c r="L8" s="9" t="s">
        <v>1183</v>
      </c>
    </row>
    <row r="9" customFormat="false" ht="23.25" hidden="false" customHeight="true" outlineLevel="0" collapsed="false">
      <c r="A9" s="9" t="s">
        <v>87</v>
      </c>
      <c r="B9" s="9" t="n">
        <v>3</v>
      </c>
      <c r="C9" s="9" t="s">
        <v>461</v>
      </c>
      <c r="D9" s="9" t="s">
        <v>417</v>
      </c>
      <c r="E9" s="9" t="s">
        <v>1184</v>
      </c>
      <c r="F9" s="9" t="s">
        <v>1185</v>
      </c>
      <c r="G9" s="9" t="s">
        <v>1186</v>
      </c>
      <c r="H9" s="9"/>
      <c r="I9" s="9" t="s">
        <v>1187</v>
      </c>
      <c r="J9" s="9"/>
      <c r="K9" s="9" t="s">
        <v>1188</v>
      </c>
      <c r="L9" s="9" t="s">
        <v>1189</v>
      </c>
    </row>
    <row r="10" customFormat="false" ht="23.25" hidden="false" customHeight="true" outlineLevel="0" collapsed="false">
      <c r="A10" s="9" t="s">
        <v>87</v>
      </c>
      <c r="B10" s="9" t="n">
        <v>4</v>
      </c>
      <c r="C10" s="9" t="s">
        <v>778</v>
      </c>
      <c r="D10" s="9" t="s">
        <v>417</v>
      </c>
      <c r="E10" s="9" t="s">
        <v>1190</v>
      </c>
      <c r="F10" s="9"/>
      <c r="G10" s="9"/>
      <c r="H10" s="9" t="s">
        <v>1191</v>
      </c>
      <c r="I10" s="9" t="s">
        <v>1192</v>
      </c>
      <c r="J10" s="9" t="s">
        <v>1193</v>
      </c>
      <c r="K10" s="9" t="s">
        <v>1194</v>
      </c>
      <c r="L10" s="9" t="s">
        <v>1195</v>
      </c>
    </row>
    <row r="11" customFormat="false" ht="34.5" hidden="false" customHeight="true" outlineLevel="0" collapsed="false">
      <c r="A11" s="9" t="s">
        <v>104</v>
      </c>
      <c r="B11" s="9" t="n">
        <v>1</v>
      </c>
      <c r="C11" s="9" t="s">
        <v>484</v>
      </c>
      <c r="D11" s="9" t="s">
        <v>404</v>
      </c>
      <c r="E11" s="9" t="s">
        <v>1196</v>
      </c>
      <c r="F11" s="9" t="s">
        <v>1197</v>
      </c>
      <c r="G11" s="9" t="s">
        <v>1198</v>
      </c>
      <c r="H11" s="9" t="s">
        <v>1199</v>
      </c>
      <c r="I11" s="9" t="s">
        <v>1200</v>
      </c>
      <c r="J11" s="9" t="s">
        <v>1201</v>
      </c>
      <c r="K11" s="9" t="s">
        <v>1202</v>
      </c>
      <c r="L11" s="9" t="s">
        <v>1203</v>
      </c>
    </row>
    <row r="12" customFormat="false" ht="23.25" hidden="false" customHeight="true" outlineLevel="0" collapsed="false">
      <c r="A12" s="9" t="s">
        <v>104</v>
      </c>
      <c r="B12" s="9" t="n">
        <v>2</v>
      </c>
      <c r="C12" s="9" t="s">
        <v>495</v>
      </c>
      <c r="D12" s="9" t="s">
        <v>417</v>
      </c>
      <c r="E12" s="9" t="s">
        <v>1204</v>
      </c>
      <c r="F12" s="9"/>
      <c r="G12" s="9" t="s">
        <v>1205</v>
      </c>
      <c r="H12" s="9" t="s">
        <v>1206</v>
      </c>
      <c r="I12" s="9" t="s">
        <v>1207</v>
      </c>
      <c r="J12" s="9"/>
      <c r="K12" s="9" t="s">
        <v>1208</v>
      </c>
      <c r="L12" s="9"/>
    </row>
    <row r="13" customFormat="false" ht="23.25" hidden="false" customHeight="true" outlineLevel="0" collapsed="false">
      <c r="A13" s="9" t="s">
        <v>104</v>
      </c>
      <c r="B13" s="9" t="n">
        <v>3</v>
      </c>
      <c r="C13" s="9" t="s">
        <v>507</v>
      </c>
      <c r="D13" s="9" t="s">
        <v>417</v>
      </c>
      <c r="E13" s="9" t="s">
        <v>1209</v>
      </c>
      <c r="F13" s="9"/>
      <c r="G13" s="9" t="s">
        <v>1210</v>
      </c>
      <c r="H13" s="9" t="s">
        <v>1211</v>
      </c>
      <c r="I13" s="9" t="s">
        <v>1212</v>
      </c>
      <c r="J13" s="9" t="s">
        <v>1213</v>
      </c>
      <c r="K13" s="9"/>
      <c r="L13" s="9"/>
    </row>
    <row r="14" customFormat="false" ht="23.25" hidden="false" customHeight="true" outlineLevel="0" collapsed="false">
      <c r="A14" s="9" t="s">
        <v>104</v>
      </c>
      <c r="B14" s="9" t="n">
        <v>4</v>
      </c>
      <c r="C14" s="9" t="s">
        <v>517</v>
      </c>
      <c r="D14" s="9" t="s">
        <v>417</v>
      </c>
      <c r="E14" s="9" t="s">
        <v>1214</v>
      </c>
      <c r="F14" s="9"/>
      <c r="G14" s="9"/>
      <c r="H14" s="9" t="s">
        <v>1215</v>
      </c>
      <c r="I14" s="9" t="s">
        <v>1216</v>
      </c>
      <c r="J14" s="9" t="s">
        <v>1217</v>
      </c>
      <c r="K14" s="9"/>
      <c r="L14" s="9" t="s">
        <v>1218</v>
      </c>
    </row>
    <row r="15" customFormat="false" ht="23.25" hidden="false" customHeight="true" outlineLevel="0" collapsed="false">
      <c r="A15" s="9" t="s">
        <v>124</v>
      </c>
      <c r="B15" s="9" t="n">
        <v>1</v>
      </c>
      <c r="C15" s="9" t="s">
        <v>529</v>
      </c>
      <c r="D15" s="9" t="s">
        <v>379</v>
      </c>
      <c r="E15" s="9" t="s">
        <v>1219</v>
      </c>
      <c r="F15" s="9" t="s">
        <v>1220</v>
      </c>
      <c r="G15" s="9"/>
      <c r="H15" s="9" t="s">
        <v>1221</v>
      </c>
      <c r="I15" s="9" t="s">
        <v>1222</v>
      </c>
      <c r="J15" s="9"/>
      <c r="K15" s="9" t="s">
        <v>1223</v>
      </c>
      <c r="L15" s="9" t="s">
        <v>1224</v>
      </c>
    </row>
    <row r="16" customFormat="false" ht="23.25" hidden="false" customHeight="true" outlineLevel="0" collapsed="false">
      <c r="A16" s="9" t="s">
        <v>124</v>
      </c>
      <c r="B16" s="9" t="n">
        <v>2</v>
      </c>
      <c r="C16" s="9" t="s">
        <v>541</v>
      </c>
      <c r="D16" s="9" t="s">
        <v>404</v>
      </c>
      <c r="E16" s="9" t="s">
        <v>1225</v>
      </c>
      <c r="F16" s="9" t="s">
        <v>1226</v>
      </c>
      <c r="G16" s="9" t="s">
        <v>1227</v>
      </c>
      <c r="H16" s="9" t="s">
        <v>1228</v>
      </c>
      <c r="I16" s="9" t="s">
        <v>1229</v>
      </c>
      <c r="J16" s="9" t="s">
        <v>1230</v>
      </c>
      <c r="K16" s="9" t="s">
        <v>1231</v>
      </c>
      <c r="L16" s="9" t="s">
        <v>1232</v>
      </c>
    </row>
    <row r="17" customFormat="false" ht="23.25" hidden="false" customHeight="true" outlineLevel="0" collapsed="false">
      <c r="A17" s="9" t="s">
        <v>124</v>
      </c>
      <c r="B17" s="9" t="n">
        <v>3</v>
      </c>
      <c r="C17" s="9" t="s">
        <v>553</v>
      </c>
      <c r="D17" s="9" t="s">
        <v>417</v>
      </c>
      <c r="E17" s="9"/>
      <c r="F17" s="9" t="s">
        <v>1233</v>
      </c>
      <c r="G17" s="9" t="s">
        <v>1234</v>
      </c>
      <c r="H17" s="9" t="s">
        <v>1235</v>
      </c>
      <c r="I17" s="9" t="s">
        <v>1236</v>
      </c>
      <c r="J17" s="9" t="s">
        <v>1237</v>
      </c>
      <c r="K17" s="9"/>
      <c r="L17" s="9"/>
    </row>
    <row r="18" customFormat="false" ht="23.25" hidden="false" customHeight="true" outlineLevel="0" collapsed="false">
      <c r="A18" s="9" t="s">
        <v>124</v>
      </c>
      <c r="B18" s="9" t="n">
        <v>4</v>
      </c>
      <c r="C18" s="9" t="s">
        <v>564</v>
      </c>
      <c r="D18" s="9" t="s">
        <v>417</v>
      </c>
      <c r="E18" s="9" t="s">
        <v>1238</v>
      </c>
      <c r="F18" s="9"/>
      <c r="G18" s="9" t="s">
        <v>1239</v>
      </c>
      <c r="H18" s="9" t="s">
        <v>1240</v>
      </c>
      <c r="I18" s="9" t="s">
        <v>1241</v>
      </c>
      <c r="J18" s="9"/>
      <c r="K18" s="9" t="s">
        <v>1242</v>
      </c>
      <c r="L18" s="9"/>
    </row>
    <row r="19" customFormat="false" ht="23.25" hidden="false" customHeight="true" outlineLevel="0" collapsed="false">
      <c r="A19" s="9" t="s">
        <v>139</v>
      </c>
      <c r="B19" s="9" t="n">
        <v>1</v>
      </c>
      <c r="C19" s="9" t="s">
        <v>575</v>
      </c>
      <c r="D19" s="9" t="s">
        <v>379</v>
      </c>
      <c r="E19" s="9"/>
      <c r="F19" s="9" t="s">
        <v>1243</v>
      </c>
      <c r="G19" s="9" t="s">
        <v>1244</v>
      </c>
      <c r="H19" s="9" t="s">
        <v>1245</v>
      </c>
      <c r="I19" s="9" t="s">
        <v>1246</v>
      </c>
      <c r="J19" s="9"/>
      <c r="K19" s="9" t="s">
        <v>1247</v>
      </c>
      <c r="L19" s="9"/>
    </row>
    <row r="20" customFormat="false" ht="23.25" hidden="false" customHeight="true" outlineLevel="0" collapsed="false">
      <c r="A20" s="9" t="s">
        <v>139</v>
      </c>
      <c r="B20" s="9" t="n">
        <v>2</v>
      </c>
      <c r="C20" s="9" t="s">
        <v>585</v>
      </c>
      <c r="D20" s="9" t="s">
        <v>404</v>
      </c>
      <c r="E20" s="9" t="s">
        <v>1248</v>
      </c>
      <c r="F20" s="9" t="s">
        <v>1249</v>
      </c>
      <c r="G20" s="9" t="s">
        <v>1250</v>
      </c>
      <c r="H20" s="9" t="s">
        <v>1251</v>
      </c>
      <c r="I20" s="9" t="s">
        <v>1252</v>
      </c>
      <c r="J20" s="9" t="s">
        <v>1253</v>
      </c>
      <c r="K20" s="9" t="s">
        <v>1254</v>
      </c>
      <c r="L20" s="9" t="s">
        <v>1255</v>
      </c>
    </row>
    <row r="21" customFormat="false" ht="23.25" hidden="false" customHeight="true" outlineLevel="0" collapsed="false">
      <c r="A21" s="9" t="s">
        <v>139</v>
      </c>
      <c r="B21" s="9" t="n">
        <v>3</v>
      </c>
      <c r="C21" s="9" t="s">
        <v>597</v>
      </c>
      <c r="D21" s="9" t="s">
        <v>417</v>
      </c>
      <c r="E21" s="9" t="s">
        <v>1256</v>
      </c>
      <c r="F21" s="9"/>
      <c r="G21" s="9" t="s">
        <v>1257</v>
      </c>
      <c r="H21" s="9" t="s">
        <v>1258</v>
      </c>
      <c r="I21" s="9" t="s">
        <v>1259</v>
      </c>
      <c r="J21" s="9" t="s">
        <v>1260</v>
      </c>
      <c r="K21" s="9"/>
      <c r="L21" s="9"/>
    </row>
    <row r="22" customFormat="false" ht="23.25" hidden="false" customHeight="true" outlineLevel="0" collapsed="false">
      <c r="A22" s="9" t="s">
        <v>139</v>
      </c>
      <c r="B22" s="9" t="n">
        <v>4</v>
      </c>
      <c r="C22" s="9" t="s">
        <v>1261</v>
      </c>
      <c r="D22" s="9" t="s">
        <v>417</v>
      </c>
      <c r="E22" s="9"/>
      <c r="F22" s="9"/>
      <c r="G22" s="9"/>
      <c r="H22" s="9" t="s">
        <v>1262</v>
      </c>
      <c r="I22" s="9" t="s">
        <v>1263</v>
      </c>
      <c r="J22" s="9" t="s">
        <v>1264</v>
      </c>
      <c r="K22" s="9" t="s">
        <v>1265</v>
      </c>
      <c r="L22" s="9" t="s">
        <v>1266</v>
      </c>
    </row>
    <row r="23" customFormat="false" ht="23.25" hidden="false" customHeight="true" outlineLevel="0" collapsed="false">
      <c r="A23" s="9" t="s">
        <v>157</v>
      </c>
      <c r="B23" s="9" t="n">
        <v>1</v>
      </c>
      <c r="C23" s="9" t="s">
        <v>620</v>
      </c>
      <c r="D23" s="9" t="s">
        <v>417</v>
      </c>
      <c r="E23" s="9" t="s">
        <v>1267</v>
      </c>
      <c r="F23" s="9" t="s">
        <v>1268</v>
      </c>
      <c r="G23" s="9" t="s">
        <v>1269</v>
      </c>
      <c r="H23" s="9" t="s">
        <v>1270</v>
      </c>
      <c r="I23" s="9" t="s">
        <v>1271</v>
      </c>
      <c r="J23" s="9" t="s">
        <v>1272</v>
      </c>
      <c r="K23" s="9" t="s">
        <v>1273</v>
      </c>
      <c r="L23" s="9" t="s">
        <v>1274</v>
      </c>
    </row>
    <row r="24" customFormat="false" ht="23.25" hidden="false" customHeight="true" outlineLevel="0" collapsed="false">
      <c r="A24" s="9" t="s">
        <v>157</v>
      </c>
      <c r="B24" s="9" t="n">
        <v>2</v>
      </c>
      <c r="C24" s="9" t="s">
        <v>630</v>
      </c>
      <c r="D24" s="9" t="s">
        <v>417</v>
      </c>
      <c r="E24" s="9"/>
      <c r="F24" s="9"/>
      <c r="G24" s="9" t="s">
        <v>1275</v>
      </c>
      <c r="H24" s="9"/>
      <c r="I24" s="9" t="s">
        <v>1276</v>
      </c>
      <c r="J24" s="9" t="s">
        <v>1277</v>
      </c>
      <c r="K24" s="9" t="s">
        <v>1278</v>
      </c>
      <c r="L24" s="9" t="s">
        <v>1279</v>
      </c>
    </row>
    <row r="25" customFormat="false" ht="23.25" hidden="false" customHeight="true" outlineLevel="0" collapsed="false">
      <c r="A25" s="9" t="s">
        <v>157</v>
      </c>
      <c r="B25" s="9" t="n">
        <v>3</v>
      </c>
      <c r="C25" s="9" t="s">
        <v>641</v>
      </c>
      <c r="D25" s="9" t="s">
        <v>417</v>
      </c>
      <c r="E25" s="9" t="s">
        <v>1280</v>
      </c>
      <c r="F25" s="9"/>
      <c r="G25" s="9"/>
      <c r="H25" s="9" t="s">
        <v>1281</v>
      </c>
      <c r="I25" s="9" t="s">
        <v>1282</v>
      </c>
      <c r="J25" s="9" t="s">
        <v>1283</v>
      </c>
      <c r="K25" s="9"/>
      <c r="L25" s="9" t="s">
        <v>1284</v>
      </c>
    </row>
    <row r="26" customFormat="false" ht="15" hidden="false" customHeight="true" outlineLevel="0" collapsed="false">
      <c r="A26" s="9" t="s">
        <v>157</v>
      </c>
      <c r="B26" s="9" t="n">
        <v>4</v>
      </c>
      <c r="C26" s="9" t="s">
        <v>1285</v>
      </c>
      <c r="D26" s="9" t="s">
        <v>417</v>
      </c>
      <c r="E26" s="9" t="s">
        <v>1286</v>
      </c>
      <c r="F26" s="9" t="s">
        <v>1287</v>
      </c>
      <c r="G26" s="9"/>
      <c r="H26" s="9"/>
      <c r="I26" s="9" t="s">
        <v>1288</v>
      </c>
      <c r="J26" s="9" t="s">
        <v>1289</v>
      </c>
      <c r="K26" s="9" t="s">
        <v>1290</v>
      </c>
      <c r="L26" s="9"/>
    </row>
    <row r="27" customFormat="false" ht="23.25" hidden="false" customHeight="true" outlineLevel="0" collapsed="false">
      <c r="A27" s="9" t="s">
        <v>174</v>
      </c>
      <c r="B27" s="9" t="n">
        <v>1</v>
      </c>
      <c r="C27" s="9" t="s">
        <v>662</v>
      </c>
      <c r="D27" s="9" t="s">
        <v>379</v>
      </c>
      <c r="E27" s="9" t="s">
        <v>1291</v>
      </c>
      <c r="F27" s="9" t="s">
        <v>1292</v>
      </c>
      <c r="G27" s="9" t="s">
        <v>1293</v>
      </c>
      <c r="H27" s="9"/>
      <c r="I27" s="9" t="s">
        <v>1294</v>
      </c>
      <c r="J27" s="9"/>
      <c r="K27" s="9" t="s">
        <v>1295</v>
      </c>
      <c r="L27" s="9" t="s">
        <v>1296</v>
      </c>
    </row>
    <row r="28" customFormat="false" ht="23.25" hidden="false" customHeight="true" outlineLevel="0" collapsed="false">
      <c r="A28" s="9" t="s">
        <v>174</v>
      </c>
      <c r="B28" s="9" t="n">
        <v>2</v>
      </c>
      <c r="C28" s="9" t="s">
        <v>673</v>
      </c>
      <c r="D28" s="9" t="s">
        <v>379</v>
      </c>
      <c r="E28" s="9" t="s">
        <v>1297</v>
      </c>
      <c r="F28" s="9"/>
      <c r="G28" s="9" t="s">
        <v>1298</v>
      </c>
      <c r="H28" s="9" t="s">
        <v>1299</v>
      </c>
      <c r="I28" s="9" t="s">
        <v>1300</v>
      </c>
      <c r="J28" s="9" t="s">
        <v>1301</v>
      </c>
      <c r="K28" s="9" t="s">
        <v>1302</v>
      </c>
      <c r="L28" s="9"/>
    </row>
    <row r="29" customFormat="false" ht="23.25" hidden="false" customHeight="true" outlineLevel="0" collapsed="false">
      <c r="A29" s="9" t="s">
        <v>174</v>
      </c>
      <c r="B29" s="9" t="n">
        <v>3</v>
      </c>
      <c r="C29" s="9" t="s">
        <v>575</v>
      </c>
      <c r="D29" s="9" t="s">
        <v>379</v>
      </c>
      <c r="E29" s="9" t="s">
        <v>1303</v>
      </c>
      <c r="F29" s="9" t="s">
        <v>1304</v>
      </c>
      <c r="G29" s="9" t="s">
        <v>1305</v>
      </c>
      <c r="H29" s="9"/>
      <c r="I29" s="9" t="s">
        <v>1306</v>
      </c>
      <c r="J29" s="9"/>
      <c r="K29" s="9" t="s">
        <v>1307</v>
      </c>
      <c r="L29" s="9" t="s">
        <v>1308</v>
      </c>
    </row>
    <row r="30" customFormat="false" ht="23.25" hidden="false" customHeight="true" outlineLevel="0" collapsed="false">
      <c r="A30" s="9" t="s">
        <v>174</v>
      </c>
      <c r="B30" s="9" t="n">
        <v>4</v>
      </c>
      <c r="C30" s="9" t="s">
        <v>695</v>
      </c>
      <c r="D30" s="9" t="s">
        <v>404</v>
      </c>
      <c r="E30" s="9" t="s">
        <v>1309</v>
      </c>
      <c r="F30" s="9" t="s">
        <v>1310</v>
      </c>
      <c r="G30" s="9" t="s">
        <v>1311</v>
      </c>
      <c r="H30" s="9" t="s">
        <v>1312</v>
      </c>
      <c r="I30" s="9" t="s">
        <v>1313</v>
      </c>
      <c r="J30" s="9" t="s">
        <v>1314</v>
      </c>
      <c r="K30" s="9" t="s">
        <v>1315</v>
      </c>
      <c r="L30" s="9" t="s">
        <v>1316</v>
      </c>
    </row>
    <row r="31" customFormat="false" ht="34.5" hidden="false" customHeight="true" outlineLevel="0" collapsed="false">
      <c r="A31" s="9" t="s">
        <v>193</v>
      </c>
      <c r="B31" s="9" t="n">
        <v>1</v>
      </c>
      <c r="C31" s="9" t="s">
        <v>705</v>
      </c>
      <c r="D31" s="9" t="s">
        <v>379</v>
      </c>
      <c r="E31" s="9" t="s">
        <v>1317</v>
      </c>
      <c r="F31" s="9" t="s">
        <v>1318</v>
      </c>
      <c r="G31" s="9" t="s">
        <v>1319</v>
      </c>
      <c r="H31" s="9" t="s">
        <v>1320</v>
      </c>
      <c r="I31" s="9" t="s">
        <v>1321</v>
      </c>
      <c r="J31" s="9"/>
      <c r="K31" s="9"/>
      <c r="L31" s="9"/>
    </row>
    <row r="32" customFormat="false" ht="23.25" hidden="false" customHeight="true" outlineLevel="0" collapsed="false">
      <c r="A32" s="9" t="s">
        <v>193</v>
      </c>
      <c r="B32" s="9" t="n">
        <v>2</v>
      </c>
      <c r="C32" s="9" t="s">
        <v>715</v>
      </c>
      <c r="D32" s="9" t="s">
        <v>404</v>
      </c>
      <c r="E32" s="9" t="s">
        <v>1322</v>
      </c>
      <c r="F32" s="9" t="s">
        <v>1323</v>
      </c>
      <c r="G32" s="9" t="s">
        <v>1324</v>
      </c>
      <c r="H32" s="9" t="s">
        <v>1325</v>
      </c>
      <c r="I32" s="9" t="s">
        <v>1326</v>
      </c>
      <c r="J32" s="9" t="s">
        <v>1327</v>
      </c>
      <c r="K32" s="9" t="s">
        <v>1328</v>
      </c>
      <c r="L32" s="9" t="s">
        <v>1329</v>
      </c>
    </row>
    <row r="33" customFormat="false" ht="23.25" hidden="false" customHeight="true" outlineLevel="0" collapsed="false">
      <c r="A33" s="9" t="s">
        <v>193</v>
      </c>
      <c r="B33" s="9" t="n">
        <v>3</v>
      </c>
      <c r="C33" s="9" t="s">
        <v>725</v>
      </c>
      <c r="D33" s="9" t="s">
        <v>417</v>
      </c>
      <c r="E33" s="9" t="s">
        <v>1330</v>
      </c>
      <c r="F33" s="9" t="s">
        <v>1331</v>
      </c>
      <c r="G33" s="9"/>
      <c r="H33" s="9" t="s">
        <v>1332</v>
      </c>
      <c r="I33" s="9" t="s">
        <v>1333</v>
      </c>
      <c r="J33" s="9"/>
      <c r="K33" s="9" t="s">
        <v>1334</v>
      </c>
      <c r="L33" s="9" t="s">
        <v>1335</v>
      </c>
    </row>
    <row r="34" customFormat="false" ht="23.25" hidden="false" customHeight="true" outlineLevel="0" collapsed="false">
      <c r="A34" s="9" t="s">
        <v>193</v>
      </c>
      <c r="B34" s="9" t="n">
        <v>4</v>
      </c>
      <c r="C34" s="9" t="s">
        <v>736</v>
      </c>
      <c r="D34" s="9" t="s">
        <v>417</v>
      </c>
      <c r="E34" s="9" t="s">
        <v>1336</v>
      </c>
      <c r="F34" s="9" t="s">
        <v>1337</v>
      </c>
      <c r="G34" s="9" t="s">
        <v>1338</v>
      </c>
      <c r="H34" s="9"/>
      <c r="I34" s="9" t="s">
        <v>1339</v>
      </c>
      <c r="J34" s="9" t="s">
        <v>1340</v>
      </c>
      <c r="K34" s="9"/>
      <c r="L34" s="9"/>
    </row>
    <row r="35" customFormat="false" ht="23.25" hidden="false" customHeight="true" outlineLevel="0" collapsed="false">
      <c r="A35" s="9" t="s">
        <v>210</v>
      </c>
      <c r="B35" s="9" t="n">
        <v>1</v>
      </c>
      <c r="C35" s="9" t="s">
        <v>746</v>
      </c>
      <c r="D35" s="9" t="s">
        <v>379</v>
      </c>
      <c r="E35" s="9" t="s">
        <v>1341</v>
      </c>
      <c r="F35" s="9" t="s">
        <v>1342</v>
      </c>
      <c r="G35" s="9" t="s">
        <v>1343</v>
      </c>
      <c r="H35" s="9" t="s">
        <v>1344</v>
      </c>
      <c r="I35" s="9" t="s">
        <v>1345</v>
      </c>
      <c r="J35" s="9"/>
      <c r="K35" s="9"/>
      <c r="L35" s="9"/>
    </row>
    <row r="36" customFormat="false" ht="34.5" hidden="false" customHeight="true" outlineLevel="0" collapsed="false">
      <c r="A36" s="9" t="s">
        <v>210</v>
      </c>
      <c r="B36" s="9" t="n">
        <v>2</v>
      </c>
      <c r="C36" s="9" t="s">
        <v>757</v>
      </c>
      <c r="D36" s="9" t="s">
        <v>404</v>
      </c>
      <c r="E36" s="9" t="s">
        <v>1346</v>
      </c>
      <c r="F36" s="9" t="s">
        <v>1347</v>
      </c>
      <c r="G36" s="9" t="s">
        <v>1348</v>
      </c>
      <c r="H36" s="9" t="s">
        <v>1349</v>
      </c>
      <c r="I36" s="9" t="s">
        <v>1350</v>
      </c>
      <c r="J36" s="9" t="s">
        <v>1351</v>
      </c>
      <c r="K36" s="9" t="s">
        <v>1352</v>
      </c>
      <c r="L36" s="9" t="s">
        <v>1353</v>
      </c>
    </row>
    <row r="37" customFormat="false" ht="23.25" hidden="false" customHeight="true" outlineLevel="0" collapsed="false">
      <c r="A37" s="9" t="s">
        <v>210</v>
      </c>
      <c r="B37" s="9" t="n">
        <v>3</v>
      </c>
      <c r="C37" s="9" t="s">
        <v>461</v>
      </c>
      <c r="D37" s="9" t="s">
        <v>417</v>
      </c>
      <c r="E37" s="9" t="s">
        <v>1354</v>
      </c>
      <c r="F37" s="9" t="s">
        <v>1355</v>
      </c>
      <c r="G37" s="9" t="s">
        <v>1356</v>
      </c>
      <c r="H37" s="9" t="s">
        <v>1357</v>
      </c>
      <c r="I37" s="9" t="s">
        <v>1358</v>
      </c>
      <c r="J37" s="9"/>
      <c r="K37" s="9"/>
      <c r="L37" s="9"/>
    </row>
    <row r="38" customFormat="false" ht="23.25" hidden="false" customHeight="true" outlineLevel="0" collapsed="false">
      <c r="A38" s="9" t="s">
        <v>210</v>
      </c>
      <c r="B38" s="9" t="n">
        <v>4</v>
      </c>
      <c r="C38" s="9" t="s">
        <v>778</v>
      </c>
      <c r="D38" s="9" t="s">
        <v>417</v>
      </c>
      <c r="E38" s="9" t="s">
        <v>1359</v>
      </c>
      <c r="F38" s="9"/>
      <c r="G38" s="9"/>
      <c r="H38" s="9" t="s">
        <v>1360</v>
      </c>
      <c r="I38" s="9" t="s">
        <v>1361</v>
      </c>
      <c r="J38" s="9" t="s">
        <v>1362</v>
      </c>
      <c r="K38" s="9"/>
      <c r="L38" s="9" t="s">
        <v>1363</v>
      </c>
    </row>
    <row r="39" customFormat="false" ht="23.25" hidden="false" customHeight="true" outlineLevel="0" collapsed="false">
      <c r="A39" s="9" t="s">
        <v>227</v>
      </c>
      <c r="B39" s="9" t="n">
        <v>1</v>
      </c>
      <c r="C39" s="9" t="s">
        <v>641</v>
      </c>
      <c r="D39" s="9" t="s">
        <v>404</v>
      </c>
      <c r="E39" s="9" t="s">
        <v>1364</v>
      </c>
      <c r="F39" s="9" t="s">
        <v>1365</v>
      </c>
      <c r="G39" s="9" t="s">
        <v>1366</v>
      </c>
      <c r="H39" s="9" t="s">
        <v>1367</v>
      </c>
      <c r="I39" s="9" t="s">
        <v>1368</v>
      </c>
      <c r="J39" s="9" t="s">
        <v>1369</v>
      </c>
      <c r="K39" s="9" t="s">
        <v>1370</v>
      </c>
      <c r="L39" s="9" t="s">
        <v>1371</v>
      </c>
    </row>
    <row r="40" customFormat="false" ht="23.25" hidden="false" customHeight="true" outlineLevel="0" collapsed="false">
      <c r="A40" s="9" t="s">
        <v>227</v>
      </c>
      <c r="B40" s="9" t="n">
        <v>2</v>
      </c>
      <c r="C40" s="9" t="s">
        <v>798</v>
      </c>
      <c r="D40" s="9" t="s">
        <v>417</v>
      </c>
      <c r="E40" s="9"/>
      <c r="F40" s="9" t="s">
        <v>1372</v>
      </c>
      <c r="G40" s="9" t="s">
        <v>1373</v>
      </c>
      <c r="H40" s="9" t="s">
        <v>1374</v>
      </c>
      <c r="I40" s="9" t="s">
        <v>1375</v>
      </c>
      <c r="J40" s="9"/>
      <c r="K40" s="9"/>
      <c r="L40" s="9" t="s">
        <v>1376</v>
      </c>
    </row>
    <row r="41" customFormat="false" ht="23.25" hidden="false" customHeight="true" outlineLevel="0" collapsed="false">
      <c r="A41" s="9" t="s">
        <v>227</v>
      </c>
      <c r="B41" s="9" t="n">
        <v>3</v>
      </c>
      <c r="C41" s="9" t="s">
        <v>808</v>
      </c>
      <c r="D41" s="9" t="s">
        <v>417</v>
      </c>
      <c r="E41" s="9" t="s">
        <v>1377</v>
      </c>
      <c r="F41" s="9" t="s">
        <v>1378</v>
      </c>
      <c r="G41" s="9"/>
      <c r="H41" s="9" t="s">
        <v>1379</v>
      </c>
      <c r="I41" s="9"/>
      <c r="J41" s="9" t="s">
        <v>1380</v>
      </c>
      <c r="K41" s="9"/>
      <c r="L41" s="9" t="s">
        <v>1381</v>
      </c>
    </row>
    <row r="42" customFormat="false" ht="23.25" hidden="false" customHeight="true" outlineLevel="0" collapsed="false">
      <c r="A42" s="9" t="s">
        <v>227</v>
      </c>
      <c r="B42" s="9" t="n">
        <v>4</v>
      </c>
      <c r="C42" s="9" t="s">
        <v>818</v>
      </c>
      <c r="D42" s="9" t="s">
        <v>417</v>
      </c>
      <c r="E42" s="9"/>
      <c r="F42" s="9" t="s">
        <v>1382</v>
      </c>
      <c r="G42" s="9" t="s">
        <v>1383</v>
      </c>
      <c r="H42" s="9"/>
      <c r="I42" s="9" t="s">
        <v>1384</v>
      </c>
      <c r="J42" s="9" t="s">
        <v>1385</v>
      </c>
      <c r="K42" s="9" t="s">
        <v>1386</v>
      </c>
      <c r="L42" s="9"/>
    </row>
    <row r="43" customFormat="false" ht="23.25" hidden="false" customHeight="true" outlineLevel="0" collapsed="false">
      <c r="A43" s="9" t="s">
        <v>244</v>
      </c>
      <c r="B43" s="9" t="n">
        <v>1</v>
      </c>
      <c r="C43" s="9" t="s">
        <v>829</v>
      </c>
      <c r="D43" s="9" t="s">
        <v>379</v>
      </c>
      <c r="E43" s="9" t="s">
        <v>1387</v>
      </c>
      <c r="F43" s="9" t="s">
        <v>1388</v>
      </c>
      <c r="G43" s="9" t="s">
        <v>1389</v>
      </c>
      <c r="H43" s="9" t="s">
        <v>1390</v>
      </c>
      <c r="I43" s="9" t="s">
        <v>1391</v>
      </c>
      <c r="J43" s="9" t="s">
        <v>1392</v>
      </c>
      <c r="K43" s="9"/>
      <c r="L43" s="9"/>
    </row>
    <row r="44" customFormat="false" ht="23.25" hidden="false" customHeight="true" outlineLevel="0" collapsed="false">
      <c r="A44" s="9" t="s">
        <v>244</v>
      </c>
      <c r="B44" s="9" t="n">
        <v>2</v>
      </c>
      <c r="C44" s="9" t="s">
        <v>839</v>
      </c>
      <c r="D44" s="9" t="s">
        <v>379</v>
      </c>
      <c r="E44" s="9" t="s">
        <v>1393</v>
      </c>
      <c r="F44" s="9"/>
      <c r="G44" s="9" t="s">
        <v>1394</v>
      </c>
      <c r="H44" s="9" t="s">
        <v>1395</v>
      </c>
      <c r="I44" s="9" t="s">
        <v>1396</v>
      </c>
      <c r="J44" s="9"/>
      <c r="K44" s="9" t="s">
        <v>1397</v>
      </c>
      <c r="L44" s="9" t="s">
        <v>1398</v>
      </c>
    </row>
    <row r="45" customFormat="false" ht="23.25" hidden="false" customHeight="true" outlineLevel="0" collapsed="false">
      <c r="A45" s="9" t="s">
        <v>244</v>
      </c>
      <c r="B45" s="9" t="n">
        <v>3</v>
      </c>
      <c r="C45" s="9" t="s">
        <v>851</v>
      </c>
      <c r="D45" s="9" t="s">
        <v>404</v>
      </c>
      <c r="E45" s="9" t="s">
        <v>1399</v>
      </c>
      <c r="F45" s="9" t="s">
        <v>1400</v>
      </c>
      <c r="G45" s="9" t="s">
        <v>1401</v>
      </c>
      <c r="H45" s="9" t="s">
        <v>1402</v>
      </c>
      <c r="I45" s="9" t="s">
        <v>1403</v>
      </c>
      <c r="J45" s="9" t="s">
        <v>1404</v>
      </c>
      <c r="K45" s="9" t="s">
        <v>1405</v>
      </c>
      <c r="L45" s="9" t="s">
        <v>1406</v>
      </c>
    </row>
    <row r="46" customFormat="false" ht="23.25" hidden="false" customHeight="true" outlineLevel="0" collapsed="false">
      <c r="A46" s="9" t="s">
        <v>244</v>
      </c>
      <c r="B46" s="9" t="n">
        <v>4</v>
      </c>
      <c r="C46" s="9" t="s">
        <v>862</v>
      </c>
      <c r="D46" s="9" t="s">
        <v>417</v>
      </c>
      <c r="E46" s="9" t="s">
        <v>1407</v>
      </c>
      <c r="F46" s="9" t="s">
        <v>1408</v>
      </c>
      <c r="G46" s="9" t="s">
        <v>1409</v>
      </c>
      <c r="H46" s="9"/>
      <c r="I46" s="9" t="s">
        <v>1410</v>
      </c>
      <c r="J46" s="9"/>
      <c r="K46" s="9" t="s">
        <v>1411</v>
      </c>
      <c r="L46" s="9" t="s">
        <v>1412</v>
      </c>
    </row>
    <row r="47" customFormat="false" ht="23.25" hidden="false" customHeight="true" outlineLevel="0" collapsed="false">
      <c r="A47" s="9" t="s">
        <v>244</v>
      </c>
      <c r="B47" s="9" t="n">
        <v>5</v>
      </c>
      <c r="C47" s="9" t="s">
        <v>873</v>
      </c>
      <c r="D47" s="9" t="s">
        <v>417</v>
      </c>
      <c r="E47" s="9" t="s">
        <v>1413</v>
      </c>
      <c r="F47" s="9"/>
      <c r="G47" s="9" t="s">
        <v>1414</v>
      </c>
      <c r="H47" s="9" t="s">
        <v>1415</v>
      </c>
      <c r="I47" s="9" t="s">
        <v>1416</v>
      </c>
      <c r="J47" s="9" t="s">
        <v>1417</v>
      </c>
      <c r="K47" s="9"/>
      <c r="L47" s="9" t="s">
        <v>1418</v>
      </c>
    </row>
    <row r="48" customFormat="false" ht="23.25" hidden="false" customHeight="true" outlineLevel="0" collapsed="false">
      <c r="A48" s="9" t="s">
        <v>260</v>
      </c>
      <c r="B48" s="9" t="n">
        <v>1</v>
      </c>
      <c r="C48" s="9" t="s">
        <v>884</v>
      </c>
      <c r="D48" s="9" t="s">
        <v>404</v>
      </c>
      <c r="E48" s="9" t="s">
        <v>1419</v>
      </c>
      <c r="F48" s="9" t="s">
        <v>1420</v>
      </c>
      <c r="G48" s="9" t="s">
        <v>1421</v>
      </c>
      <c r="H48" s="9" t="s">
        <v>1422</v>
      </c>
      <c r="I48" s="9" t="s">
        <v>1423</v>
      </c>
      <c r="J48" s="9" t="s">
        <v>1424</v>
      </c>
      <c r="K48" s="9" t="s">
        <v>1425</v>
      </c>
      <c r="L48" s="9" t="s">
        <v>1426</v>
      </c>
    </row>
    <row r="49" customFormat="false" ht="23.25" hidden="false" customHeight="true" outlineLevel="0" collapsed="false">
      <c r="A49" s="9" t="s">
        <v>260</v>
      </c>
      <c r="B49" s="9" t="n">
        <v>2</v>
      </c>
      <c r="C49" s="9" t="s">
        <v>895</v>
      </c>
      <c r="D49" s="9" t="s">
        <v>417</v>
      </c>
      <c r="E49" s="9"/>
      <c r="F49" s="9"/>
      <c r="G49" s="9" t="s">
        <v>1427</v>
      </c>
      <c r="H49" s="9" t="s">
        <v>1428</v>
      </c>
      <c r="I49" s="9" t="s">
        <v>1429</v>
      </c>
      <c r="J49" s="9" t="s">
        <v>1430</v>
      </c>
      <c r="K49" s="9" t="s">
        <v>1431</v>
      </c>
      <c r="L49" s="9" t="s">
        <v>1432</v>
      </c>
    </row>
    <row r="50" customFormat="false" ht="23.25" hidden="false" customHeight="true" outlineLevel="0" collapsed="false">
      <c r="A50" s="9" t="s">
        <v>260</v>
      </c>
      <c r="B50" s="9" t="n">
        <v>3</v>
      </c>
      <c r="C50" s="9" t="s">
        <v>507</v>
      </c>
      <c r="D50" s="9" t="s">
        <v>417</v>
      </c>
      <c r="E50" s="9" t="s">
        <v>1433</v>
      </c>
      <c r="F50" s="9"/>
      <c r="G50" s="9" t="s">
        <v>1434</v>
      </c>
      <c r="H50" s="9" t="s">
        <v>1435</v>
      </c>
      <c r="I50" s="9" t="s">
        <v>1436</v>
      </c>
      <c r="J50" s="9"/>
      <c r="K50" s="9"/>
      <c r="L50" s="9" t="s">
        <v>1437</v>
      </c>
    </row>
    <row r="51" customFormat="false" ht="23.25" hidden="false" customHeight="true" outlineLevel="0" collapsed="false">
      <c r="A51" s="9" t="s">
        <v>260</v>
      </c>
      <c r="B51" s="9" t="n">
        <v>4</v>
      </c>
      <c r="C51" s="9" t="s">
        <v>916</v>
      </c>
      <c r="D51" s="9" t="s">
        <v>417</v>
      </c>
      <c r="E51" s="9" t="s">
        <v>1438</v>
      </c>
      <c r="F51" s="9"/>
      <c r="G51" s="9"/>
      <c r="H51" s="9" t="s">
        <v>1439</v>
      </c>
      <c r="I51" s="9" t="s">
        <v>1440</v>
      </c>
      <c r="J51" s="9" t="s">
        <v>1441</v>
      </c>
      <c r="K51" s="9" t="s">
        <v>1442</v>
      </c>
      <c r="L51" s="9"/>
    </row>
    <row r="52" customFormat="false" ht="23.25" hidden="false" customHeight="true" outlineLevel="0" collapsed="false">
      <c r="A52" s="9" t="s">
        <v>277</v>
      </c>
      <c r="B52" s="9" t="n">
        <v>1</v>
      </c>
      <c r="C52" s="9" t="s">
        <v>927</v>
      </c>
      <c r="D52" s="9" t="s">
        <v>404</v>
      </c>
      <c r="E52" s="9" t="s">
        <v>1443</v>
      </c>
      <c r="F52" s="9" t="s">
        <v>1444</v>
      </c>
      <c r="G52" s="9" t="s">
        <v>1445</v>
      </c>
      <c r="H52" s="9" t="s">
        <v>1446</v>
      </c>
      <c r="I52" s="9" t="s">
        <v>1447</v>
      </c>
      <c r="J52" s="9" t="s">
        <v>1448</v>
      </c>
      <c r="K52" s="9" t="s">
        <v>1449</v>
      </c>
      <c r="L52" s="9" t="s">
        <v>1450</v>
      </c>
    </row>
    <row r="53" customFormat="false" ht="23.25" hidden="false" customHeight="true" outlineLevel="0" collapsed="false">
      <c r="A53" s="9" t="s">
        <v>277</v>
      </c>
      <c r="B53" s="9" t="n">
        <v>2</v>
      </c>
      <c r="C53" s="9" t="s">
        <v>461</v>
      </c>
      <c r="D53" s="9" t="s">
        <v>417</v>
      </c>
      <c r="E53" s="9" t="s">
        <v>1451</v>
      </c>
      <c r="F53" s="9"/>
      <c r="G53" s="9" t="s">
        <v>1452</v>
      </c>
      <c r="H53" s="9"/>
      <c r="I53" s="9" t="s">
        <v>1453</v>
      </c>
      <c r="J53" s="9"/>
      <c r="K53" s="9" t="s">
        <v>1454</v>
      </c>
      <c r="L53" s="9" t="s">
        <v>1455</v>
      </c>
    </row>
    <row r="54" customFormat="false" ht="23.25" hidden="false" customHeight="true" outlineLevel="0" collapsed="false">
      <c r="A54" s="9" t="s">
        <v>277</v>
      </c>
      <c r="B54" s="9" t="n">
        <v>3</v>
      </c>
      <c r="C54" s="9" t="s">
        <v>948</v>
      </c>
      <c r="D54" s="9" t="s">
        <v>417</v>
      </c>
      <c r="E54" s="9"/>
      <c r="F54" s="9" t="s">
        <v>1456</v>
      </c>
      <c r="G54" s="9"/>
      <c r="H54" s="9" t="s">
        <v>1457</v>
      </c>
      <c r="I54" s="9" t="s">
        <v>1458</v>
      </c>
      <c r="J54" s="9" t="s">
        <v>1459</v>
      </c>
      <c r="K54" s="9"/>
      <c r="L54" s="9" t="s">
        <v>1460</v>
      </c>
    </row>
    <row r="55" customFormat="false" ht="23.25" hidden="false" customHeight="true" outlineLevel="0" collapsed="false">
      <c r="A55" s="9" t="s">
        <v>277</v>
      </c>
      <c r="B55" s="9" t="n">
        <v>4</v>
      </c>
      <c r="C55" s="9" t="s">
        <v>957</v>
      </c>
      <c r="D55" s="9" t="s">
        <v>417</v>
      </c>
      <c r="E55" s="9" t="s">
        <v>1461</v>
      </c>
      <c r="F55" s="9"/>
      <c r="G55" s="9" t="s">
        <v>1462</v>
      </c>
      <c r="H55" s="9"/>
      <c r="I55" s="9" t="s">
        <v>1463</v>
      </c>
      <c r="J55" s="9" t="s">
        <v>1464</v>
      </c>
      <c r="K55" s="9"/>
      <c r="L55" s="9" t="s">
        <v>1465</v>
      </c>
    </row>
    <row r="56" customFormat="false" ht="23.25" hidden="false" customHeight="true" outlineLevel="0" collapsed="false">
      <c r="A56" s="9" t="s">
        <v>294</v>
      </c>
      <c r="B56" s="9" t="n">
        <v>1</v>
      </c>
      <c r="C56" s="9" t="s">
        <v>641</v>
      </c>
      <c r="D56" s="9" t="s">
        <v>379</v>
      </c>
      <c r="E56" s="9"/>
      <c r="F56" s="9" t="s">
        <v>1466</v>
      </c>
      <c r="G56" s="9"/>
      <c r="H56" s="9" t="s">
        <v>1467</v>
      </c>
      <c r="I56" s="9" t="s">
        <v>1468</v>
      </c>
      <c r="J56" s="9" t="s">
        <v>1469</v>
      </c>
      <c r="K56" s="9" t="s">
        <v>1470</v>
      </c>
      <c r="L56" s="9" t="s">
        <v>1471</v>
      </c>
    </row>
    <row r="57" customFormat="false" ht="23.25" hidden="false" customHeight="true" outlineLevel="0" collapsed="false">
      <c r="A57" s="9" t="s">
        <v>294</v>
      </c>
      <c r="B57" s="9" t="n">
        <v>2</v>
      </c>
      <c r="C57" s="9" t="s">
        <v>873</v>
      </c>
      <c r="D57" s="9" t="s">
        <v>379</v>
      </c>
      <c r="E57" s="9" t="s">
        <v>1472</v>
      </c>
      <c r="F57" s="9"/>
      <c r="G57" s="9" t="s">
        <v>1473</v>
      </c>
      <c r="H57" s="9" t="s">
        <v>1474</v>
      </c>
      <c r="I57" s="9" t="s">
        <v>1475</v>
      </c>
      <c r="J57" s="9"/>
      <c r="K57" s="9"/>
      <c r="L57" s="9" t="s">
        <v>1476</v>
      </c>
    </row>
    <row r="58" customFormat="false" ht="23.25" hidden="false" customHeight="true" outlineLevel="0" collapsed="false">
      <c r="A58" s="9" t="s">
        <v>294</v>
      </c>
      <c r="B58" s="9" t="n">
        <v>3</v>
      </c>
      <c r="C58" s="9" t="s">
        <v>818</v>
      </c>
      <c r="D58" s="9" t="s">
        <v>379</v>
      </c>
      <c r="E58" s="9" t="s">
        <v>1477</v>
      </c>
      <c r="F58" s="9"/>
      <c r="G58" s="9"/>
      <c r="H58" s="9" t="s">
        <v>1478</v>
      </c>
      <c r="I58" s="9" t="s">
        <v>1479</v>
      </c>
      <c r="J58" s="9" t="s">
        <v>1480</v>
      </c>
      <c r="K58" s="9"/>
      <c r="L58" s="9" t="s">
        <v>1481</v>
      </c>
    </row>
    <row r="59" customFormat="false" ht="23.25" hidden="false" customHeight="true" outlineLevel="0" collapsed="false">
      <c r="A59" s="9" t="s">
        <v>312</v>
      </c>
      <c r="B59" s="9" t="n">
        <v>1</v>
      </c>
      <c r="C59" s="9" t="s">
        <v>997</v>
      </c>
      <c r="D59" s="9" t="s">
        <v>379</v>
      </c>
      <c r="E59" s="9" t="s">
        <v>1482</v>
      </c>
      <c r="F59" s="9" t="s">
        <v>1483</v>
      </c>
      <c r="G59" s="9"/>
      <c r="H59" s="9" t="s">
        <v>1484</v>
      </c>
      <c r="I59" s="9" t="s">
        <v>1485</v>
      </c>
      <c r="J59" s="9"/>
      <c r="K59" s="9"/>
      <c r="L59" s="9" t="s">
        <v>1486</v>
      </c>
    </row>
    <row r="60" customFormat="false" ht="15" hidden="false" customHeight="true" outlineLevel="0" collapsed="false">
      <c r="A60" s="9" t="s">
        <v>312</v>
      </c>
      <c r="B60" s="9" t="n">
        <v>2</v>
      </c>
      <c r="C60" s="9" t="s">
        <v>507</v>
      </c>
      <c r="D60" s="9" t="s">
        <v>379</v>
      </c>
      <c r="E60" s="9"/>
      <c r="F60" s="9"/>
      <c r="G60" s="9" t="s">
        <v>1487</v>
      </c>
      <c r="H60" s="9" t="s">
        <v>1488</v>
      </c>
      <c r="I60" s="9" t="s">
        <v>1489</v>
      </c>
      <c r="J60" s="9"/>
      <c r="K60" s="9" t="s">
        <v>1490</v>
      </c>
      <c r="L60" s="9" t="s">
        <v>1491</v>
      </c>
    </row>
    <row r="61" customFormat="false" ht="15" hidden="false" customHeight="true" outlineLevel="0" collapsed="false">
      <c r="A61" s="9" t="s">
        <v>312</v>
      </c>
      <c r="B61" s="9" t="n">
        <v>3</v>
      </c>
      <c r="C61" s="9" t="s">
        <v>1018</v>
      </c>
      <c r="D61" s="9" t="s">
        <v>379</v>
      </c>
      <c r="E61" s="9"/>
      <c r="F61" s="9"/>
      <c r="G61" s="9" t="s">
        <v>1492</v>
      </c>
      <c r="H61" s="9"/>
      <c r="I61" s="9" t="s">
        <v>1493</v>
      </c>
      <c r="J61" s="9" t="s">
        <v>1494</v>
      </c>
      <c r="K61" s="9" t="s">
        <v>1495</v>
      </c>
      <c r="L61" s="9" t="s">
        <v>1496</v>
      </c>
    </row>
    <row r="62" customFormat="false" ht="15" hidden="false" customHeight="true" outlineLevel="0" collapsed="false">
      <c r="A62" s="9" t="s">
        <v>312</v>
      </c>
      <c r="B62" s="9" t="n">
        <v>4</v>
      </c>
      <c r="C62" s="9" t="s">
        <v>1028</v>
      </c>
      <c r="D62" s="9" t="s">
        <v>379</v>
      </c>
      <c r="E62" s="9" t="s">
        <v>1497</v>
      </c>
      <c r="F62" s="9"/>
      <c r="G62" s="9"/>
      <c r="H62" s="9"/>
      <c r="I62" s="9" t="s">
        <v>1498</v>
      </c>
      <c r="J62" s="9" t="s">
        <v>1499</v>
      </c>
      <c r="K62" s="9" t="s">
        <v>1500</v>
      </c>
      <c r="L62" s="9" t="s">
        <v>1501</v>
      </c>
    </row>
    <row r="63" customFormat="false" ht="23.25" hidden="false" customHeight="true" outlineLevel="0" collapsed="false">
      <c r="A63" s="9" t="s">
        <v>326</v>
      </c>
      <c r="B63" s="9" t="n">
        <v>1</v>
      </c>
      <c r="C63" s="9" t="s">
        <v>1039</v>
      </c>
      <c r="D63" s="9" t="s">
        <v>379</v>
      </c>
      <c r="E63" s="9" t="s">
        <v>1502</v>
      </c>
      <c r="F63" s="9" t="s">
        <v>1503</v>
      </c>
      <c r="G63" s="9"/>
      <c r="H63" s="9" t="s">
        <v>1504</v>
      </c>
      <c r="I63" s="9" t="s">
        <v>1505</v>
      </c>
      <c r="J63" s="9"/>
      <c r="K63" s="9"/>
      <c r="L63" s="9" t="s">
        <v>1506</v>
      </c>
    </row>
    <row r="64" customFormat="false" ht="23.25" hidden="false" customHeight="true" outlineLevel="0" collapsed="false">
      <c r="A64" s="9" t="s">
        <v>326</v>
      </c>
      <c r="B64" s="9" t="n">
        <v>2</v>
      </c>
      <c r="C64" s="9" t="s">
        <v>873</v>
      </c>
      <c r="D64" s="9" t="s">
        <v>379</v>
      </c>
      <c r="E64" s="9" t="s">
        <v>1507</v>
      </c>
      <c r="F64" s="9" t="s">
        <v>1508</v>
      </c>
      <c r="G64" s="9" t="s">
        <v>1509</v>
      </c>
      <c r="H64" s="9"/>
      <c r="I64" s="9" t="s">
        <v>1510</v>
      </c>
      <c r="J64" s="9"/>
      <c r="K64" s="9"/>
      <c r="L64" s="9" t="s">
        <v>1511</v>
      </c>
    </row>
    <row r="65" customFormat="false" ht="23.25" hidden="false" customHeight="true" outlineLevel="0" collapsed="false">
      <c r="A65" s="9" t="s">
        <v>326</v>
      </c>
      <c r="B65" s="9" t="n">
        <v>3</v>
      </c>
      <c r="C65" s="9" t="s">
        <v>1058</v>
      </c>
      <c r="D65" s="9" t="s">
        <v>379</v>
      </c>
      <c r="E65" s="9" t="s">
        <v>1512</v>
      </c>
      <c r="F65" s="9" t="s">
        <v>1513</v>
      </c>
      <c r="G65" s="9"/>
      <c r="H65" s="9"/>
      <c r="I65" s="9"/>
      <c r="J65" s="9" t="s">
        <v>1514</v>
      </c>
      <c r="K65" s="9" t="s">
        <v>1515</v>
      </c>
      <c r="L65" s="9" t="s">
        <v>1516</v>
      </c>
    </row>
    <row r="66" customFormat="false" ht="15" hidden="false" customHeight="true" outlineLevel="0" collapsed="false">
      <c r="A66" s="9" t="s">
        <v>326</v>
      </c>
      <c r="B66" s="9" t="n">
        <v>4</v>
      </c>
      <c r="C66" s="9" t="s">
        <v>1068</v>
      </c>
      <c r="D66" s="9" t="s">
        <v>379</v>
      </c>
      <c r="E66" s="9" t="s">
        <v>1517</v>
      </c>
      <c r="F66" s="9"/>
      <c r="G66" s="9"/>
      <c r="H66" s="9" t="s">
        <v>1518</v>
      </c>
      <c r="I66" s="9" t="s">
        <v>1519</v>
      </c>
      <c r="J66" s="9" t="s">
        <v>1520</v>
      </c>
      <c r="K66" s="9"/>
      <c r="L66" s="9" t="s">
        <v>1521</v>
      </c>
    </row>
    <row r="67" customFormat="false" ht="23.25" hidden="false" customHeight="true" outlineLevel="0" collapsed="false">
      <c r="A67" s="9" t="s">
        <v>342</v>
      </c>
      <c r="B67" s="9" t="n">
        <v>1</v>
      </c>
      <c r="C67" s="9" t="s">
        <v>1077</v>
      </c>
      <c r="D67" s="9" t="s">
        <v>379</v>
      </c>
      <c r="E67" s="9" t="s">
        <v>1522</v>
      </c>
      <c r="F67" s="9"/>
      <c r="G67" s="9" t="s">
        <v>1523</v>
      </c>
      <c r="H67" s="9" t="s">
        <v>1524</v>
      </c>
      <c r="I67" s="9" t="s">
        <v>1525</v>
      </c>
      <c r="J67" s="9"/>
      <c r="K67" s="9" t="s">
        <v>1526</v>
      </c>
      <c r="L67" s="9"/>
    </row>
    <row r="68" customFormat="false" ht="15" hidden="false" customHeight="true" outlineLevel="0" collapsed="false">
      <c r="A68" s="9" t="s">
        <v>342</v>
      </c>
      <c r="B68" s="9" t="n">
        <v>2</v>
      </c>
      <c r="C68" s="9" t="s">
        <v>575</v>
      </c>
      <c r="D68" s="9" t="s">
        <v>379</v>
      </c>
      <c r="E68" s="9"/>
      <c r="F68" s="9" t="s">
        <v>1527</v>
      </c>
      <c r="G68" s="9"/>
      <c r="H68" s="9" t="s">
        <v>1528</v>
      </c>
      <c r="I68" s="9" t="s">
        <v>1529</v>
      </c>
      <c r="J68" s="9" t="s">
        <v>1530</v>
      </c>
      <c r="K68" s="9"/>
      <c r="L68" s="9" t="s">
        <v>1531</v>
      </c>
    </row>
    <row r="69" customFormat="false" ht="15" hidden="false" customHeight="false" outlineLevel="0" collapsed="false">
      <c r="A69" s="1" t="s">
        <v>67</v>
      </c>
      <c r="B69" s="1" t="n">
        <v>6</v>
      </c>
      <c r="C69" s="1" t="s">
        <v>1096</v>
      </c>
      <c r="D69" s="1" t="s">
        <v>417</v>
      </c>
    </row>
    <row r="70" customFormat="false" ht="15" hidden="false" customHeight="false" outlineLevel="0" collapsed="false">
      <c r="A70" s="1" t="s">
        <v>87</v>
      </c>
      <c r="B70" s="1" t="n">
        <v>5</v>
      </c>
      <c r="C70" s="1" t="s">
        <v>1104</v>
      </c>
      <c r="D70" s="1" t="s">
        <v>417</v>
      </c>
    </row>
    <row r="71" customFormat="false" ht="15" hidden="false" customHeight="false" outlineLevel="0" collapsed="false">
      <c r="A71" s="1" t="s">
        <v>104</v>
      </c>
      <c r="B71" s="1" t="n">
        <v>5</v>
      </c>
      <c r="C71" s="1" t="s">
        <v>957</v>
      </c>
      <c r="D71" s="1" t="s">
        <v>417</v>
      </c>
    </row>
    <row r="72" customFormat="false" ht="15" hidden="false" customHeight="false" outlineLevel="0" collapsed="false">
      <c r="A72" s="1" t="s">
        <v>157</v>
      </c>
      <c r="B72" s="1" t="n">
        <v>5</v>
      </c>
      <c r="C72" s="1" t="s">
        <v>1114</v>
      </c>
      <c r="D72" s="1" t="s">
        <v>417</v>
      </c>
    </row>
    <row r="73" customFormat="false" ht="15" hidden="false" customHeight="false" outlineLevel="0" collapsed="false">
      <c r="A73" s="1" t="s">
        <v>227</v>
      </c>
      <c r="B73" s="1" t="n">
        <v>5</v>
      </c>
      <c r="C73" s="1" t="s">
        <v>1119</v>
      </c>
      <c r="D73" s="1" t="s">
        <v>417</v>
      </c>
    </row>
    <row r="74" customFormat="false" ht="15" hidden="false" customHeight="false" outlineLevel="0" collapsed="false">
      <c r="A74" s="1" t="s">
        <v>244</v>
      </c>
      <c r="B74" s="1" t="n">
        <v>6</v>
      </c>
      <c r="C74" s="1" t="s">
        <v>818</v>
      </c>
      <c r="D74" s="1" t="s">
        <v>417</v>
      </c>
    </row>
    <row r="75" customFormat="false" ht="15" hidden="false" customHeight="false" outlineLevel="0" collapsed="false">
      <c r="A75" s="1" t="s">
        <v>277</v>
      </c>
      <c r="B75" s="1" t="n">
        <v>5</v>
      </c>
      <c r="C75" s="1" t="s">
        <v>818</v>
      </c>
      <c r="D75" s="1" t="s">
        <v>417</v>
      </c>
    </row>
  </sheetData>
  <autoFilter ref="A1:L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16"/>
    <col collapsed="false" customWidth="true" hidden="false" outlineLevel="0" max="4" min="4" style="1" width="15"/>
    <col collapsed="false" customWidth="true" hidden="false" outlineLevel="0" max="5" min="5" style="1" width="22"/>
    <col collapsed="false" customWidth="true" hidden="false" outlineLevel="0" max="6" min="6" style="1" width="40"/>
    <col collapsed="false" customWidth="true" hidden="false" outlineLevel="0" max="7" min="7" style="1" width="12"/>
    <col collapsed="false" customWidth="true" hidden="false" outlineLevel="0" max="9" min="8" style="1" width="7"/>
    <col collapsed="false" customWidth="true" hidden="false" outlineLevel="0" max="10" min="10" style="1" width="9"/>
    <col collapsed="false" customWidth="true" hidden="false" outlineLevel="0" max="12" min="11" style="1" width="8"/>
    <col collapsed="false" customWidth="true" hidden="false" outlineLevel="0" max="14" min="13" style="1" width="24"/>
    <col collapsed="false" customWidth="true" hidden="false" outlineLevel="0" max="15" min="15" style="1" width="32"/>
    <col collapsed="false" customWidth="true" hidden="false" outlineLevel="0" max="16" min="16" style="1" width="55"/>
    <col collapsed="false" customWidth="true" hidden="false" outlineLevel="0" max="18" min="17" style="1" width="35"/>
    <col collapsed="false" customWidth="true" hidden="false" outlineLevel="0" max="20" min="19" style="1" width="11"/>
    <col collapsed="false" customWidth="true" hidden="false" outlineLevel="0" max="21" min="21" style="1" width="8"/>
    <col collapsed="false" customWidth="true" hidden="false" outlineLevel="0" max="22" min="22" style="1" width="30"/>
    <col collapsed="false" customWidth="true" hidden="false" outlineLevel="0" max="23" min="23" style="1" width="35"/>
    <col collapsed="false" customWidth="true" hidden="false" outlineLevel="0" max="24" min="24" style="1" width="7"/>
    <col collapsed="false" customWidth="true" hidden="false" outlineLevel="0" max="25" min="25" style="1" width="30"/>
  </cols>
  <sheetData>
    <row r="1" customFormat="false" ht="31.5" hidden="false" customHeight="true" outlineLevel="0" collapsed="false">
      <c r="A1" s="7" t="s">
        <v>1532</v>
      </c>
      <c r="B1" s="7" t="s">
        <v>41</v>
      </c>
      <c r="C1" s="7" t="s">
        <v>1533</v>
      </c>
      <c r="D1" s="7" t="s">
        <v>1534</v>
      </c>
      <c r="E1" s="7" t="s">
        <v>650</v>
      </c>
      <c r="F1" s="7" t="s">
        <v>1535</v>
      </c>
      <c r="G1" s="7" t="s">
        <v>45</v>
      </c>
      <c r="H1" s="7" t="s">
        <v>15</v>
      </c>
      <c r="I1" s="7" t="s">
        <v>1536</v>
      </c>
      <c r="J1" s="7" t="s">
        <v>363</v>
      </c>
      <c r="K1" s="7" t="s">
        <v>361</v>
      </c>
      <c r="L1" s="7" t="s">
        <v>1537</v>
      </c>
      <c r="M1" s="7" t="s">
        <v>1538</v>
      </c>
      <c r="N1" s="7" t="s">
        <v>1539</v>
      </c>
      <c r="O1" s="7" t="s">
        <v>1540</v>
      </c>
      <c r="P1" s="8" t="s">
        <v>1541</v>
      </c>
      <c r="Q1" s="8" t="s">
        <v>1542</v>
      </c>
      <c r="R1" s="8" t="s">
        <v>1543</v>
      </c>
      <c r="S1" s="8" t="s">
        <v>1544</v>
      </c>
      <c r="T1" s="8" t="s">
        <v>1545</v>
      </c>
      <c r="U1" s="8" t="s">
        <v>1546</v>
      </c>
      <c r="V1" s="8" t="s">
        <v>1547</v>
      </c>
      <c r="W1" s="8" t="s">
        <v>1548</v>
      </c>
      <c r="X1" s="8" t="s">
        <v>49</v>
      </c>
      <c r="Y1" s="7" t="s">
        <v>66</v>
      </c>
    </row>
    <row r="2" customFormat="false" ht="45.75" hidden="false" customHeight="true" outlineLevel="0" collapsed="false">
      <c r="A2" s="9" t="s">
        <v>1549</v>
      </c>
      <c r="B2" s="9" t="s">
        <v>67</v>
      </c>
      <c r="C2" s="9" t="s">
        <v>1550</v>
      </c>
      <c r="D2" s="9" t="s">
        <v>1551</v>
      </c>
      <c r="E2" s="9" t="s">
        <v>1552</v>
      </c>
      <c r="F2" s="9" t="s">
        <v>1553</v>
      </c>
      <c r="G2" s="9" t="s">
        <v>1554</v>
      </c>
      <c r="H2" s="9" t="n">
        <v>8</v>
      </c>
      <c r="I2" s="9" t="n">
        <v>10</v>
      </c>
      <c r="J2" s="17" t="n">
        <v>4</v>
      </c>
      <c r="K2" s="17" t="n">
        <v>10</v>
      </c>
      <c r="L2" s="18" t="n">
        <f aca="false">IFERROR(J2/K2,"")</f>
        <v>0.4</v>
      </c>
      <c r="M2" s="9" t="s">
        <v>1555</v>
      </c>
      <c r="N2" s="9" t="s">
        <v>1556</v>
      </c>
      <c r="O2" s="9"/>
      <c r="P2" s="13" t="s">
        <v>1557</v>
      </c>
      <c r="Q2" s="13" t="s">
        <v>1558</v>
      </c>
      <c r="R2" s="13" t="s">
        <v>1559</v>
      </c>
      <c r="S2" s="21" t="n">
        <v>52000</v>
      </c>
      <c r="T2" s="21" t="n">
        <v>70000</v>
      </c>
      <c r="U2" s="18" t="n">
        <f aca="false">IFERROR(S2/T2,"")</f>
        <v>0.742857142857143</v>
      </c>
      <c r="V2" s="13" t="s">
        <v>1560</v>
      </c>
      <c r="W2" s="13" t="s">
        <v>1561</v>
      </c>
      <c r="X2" s="10" t="str">
        <f aca="false">INDEX(Missions!$J$2:$J$100,MATCH(B2,Missions!$A$2:$A$100,0))</f>
        <v>$</v>
      </c>
      <c r="Y2" s="14"/>
    </row>
    <row r="3" customFormat="false" ht="45.75" hidden="false" customHeight="true" outlineLevel="0" collapsed="false">
      <c r="A3" s="9" t="s">
        <v>1562</v>
      </c>
      <c r="B3" s="9" t="s">
        <v>67</v>
      </c>
      <c r="C3" s="9" t="s">
        <v>1563</v>
      </c>
      <c r="D3" s="9" t="s">
        <v>1564</v>
      </c>
      <c r="E3" s="9" t="s">
        <v>1565</v>
      </c>
      <c r="F3" s="9" t="s">
        <v>1566</v>
      </c>
      <c r="G3" s="9" t="s">
        <v>1554</v>
      </c>
      <c r="H3" s="9" t="n">
        <v>5</v>
      </c>
      <c r="I3" s="9" t="n">
        <v>7</v>
      </c>
      <c r="J3" s="17" t="n">
        <v>2</v>
      </c>
      <c r="K3" s="17" t="n">
        <v>10</v>
      </c>
      <c r="L3" s="18" t="n">
        <f aca="false">IFERROR(J3/K3,"")</f>
        <v>0.2</v>
      </c>
      <c r="M3" s="9" t="s">
        <v>1567</v>
      </c>
      <c r="N3" s="9" t="s">
        <v>1568</v>
      </c>
      <c r="O3" s="9" t="s">
        <v>1569</v>
      </c>
      <c r="P3" s="13" t="s">
        <v>1570</v>
      </c>
      <c r="Q3" s="13" t="s">
        <v>1571</v>
      </c>
      <c r="R3" s="13" t="s">
        <v>1572</v>
      </c>
      <c r="S3" s="21" t="n">
        <v>31000</v>
      </c>
      <c r="T3" s="21" t="n">
        <v>60000</v>
      </c>
      <c r="U3" s="18" t="n">
        <f aca="false">IFERROR(S3/T3,"")</f>
        <v>0.516666666666667</v>
      </c>
      <c r="V3" s="13" t="s">
        <v>1573</v>
      </c>
      <c r="W3" s="13" t="s">
        <v>1574</v>
      </c>
      <c r="X3" s="10" t="str">
        <f aca="false">INDEX(Missions!$J$2:$J$100,MATCH(B3,Missions!$A$2:$A$100,0))</f>
        <v>$</v>
      </c>
      <c r="Y3" s="14"/>
    </row>
    <row r="4" customFormat="false" ht="45.75" hidden="false" customHeight="true" outlineLevel="0" collapsed="false">
      <c r="A4" s="9" t="s">
        <v>1575</v>
      </c>
      <c r="B4" s="9" t="s">
        <v>67</v>
      </c>
      <c r="C4" s="9" t="s">
        <v>1576</v>
      </c>
      <c r="D4" s="9" t="s">
        <v>1577</v>
      </c>
      <c r="E4" s="9" t="s">
        <v>1578</v>
      </c>
      <c r="F4" s="9" t="s">
        <v>1579</v>
      </c>
      <c r="G4" s="9" t="s">
        <v>1554</v>
      </c>
      <c r="H4" s="9" t="n">
        <v>3</v>
      </c>
      <c r="I4" s="9" t="n">
        <v>200</v>
      </c>
      <c r="J4" s="17" t="n">
        <v>1</v>
      </c>
      <c r="K4" s="17" t="n">
        <v>10</v>
      </c>
      <c r="L4" s="18" t="n">
        <f aca="false">IFERROR(J4/K4,"")</f>
        <v>0.1</v>
      </c>
      <c r="M4" s="9" t="s">
        <v>1555</v>
      </c>
      <c r="N4" s="9" t="s">
        <v>1580</v>
      </c>
      <c r="O4" s="9" t="s">
        <v>1581</v>
      </c>
      <c r="P4" s="13" t="s">
        <v>1582</v>
      </c>
      <c r="Q4" s="13" t="s">
        <v>1583</v>
      </c>
      <c r="R4" s="13" t="s">
        <v>1584</v>
      </c>
      <c r="S4" s="21" t="n">
        <v>9000</v>
      </c>
      <c r="T4" s="21" t="n">
        <v>25000</v>
      </c>
      <c r="U4" s="18" t="n">
        <f aca="false">IFERROR(S4/T4,"")</f>
        <v>0.36</v>
      </c>
      <c r="V4" s="13" t="s">
        <v>1585</v>
      </c>
      <c r="W4" s="13" t="s">
        <v>1586</v>
      </c>
      <c r="X4" s="10" t="str">
        <f aca="false">INDEX(Missions!$J$2:$J$100,MATCH(B4,Missions!$A$2:$A$100,0))</f>
        <v>$</v>
      </c>
      <c r="Y4" s="14"/>
    </row>
    <row r="5" customFormat="false" ht="45.75" hidden="false" customHeight="true" outlineLevel="0" collapsed="false">
      <c r="A5" s="9" t="s">
        <v>1587</v>
      </c>
      <c r="B5" s="9" t="s">
        <v>67</v>
      </c>
      <c r="C5" s="9" t="s">
        <v>1588</v>
      </c>
      <c r="D5" s="9" t="s">
        <v>1589</v>
      </c>
      <c r="E5" s="9" t="s">
        <v>1590</v>
      </c>
      <c r="F5" s="9" t="s">
        <v>1591</v>
      </c>
      <c r="G5" s="9" t="s">
        <v>160</v>
      </c>
      <c r="H5" s="9" t="n">
        <v>4</v>
      </c>
      <c r="I5" s="9" t="n">
        <v>6</v>
      </c>
      <c r="J5" s="17" t="n">
        <v>141</v>
      </c>
      <c r="K5" s="17" t="n">
        <v>150</v>
      </c>
      <c r="L5" s="18" t="n">
        <f aca="false">IFERROR(J5/K5,"")</f>
        <v>0.94</v>
      </c>
      <c r="M5" s="9" t="s">
        <v>1592</v>
      </c>
      <c r="N5" s="9" t="s">
        <v>1593</v>
      </c>
      <c r="O5" s="9" t="s">
        <v>1594</v>
      </c>
      <c r="P5" s="13" t="s">
        <v>1595</v>
      </c>
      <c r="Q5" s="13" t="s">
        <v>1596</v>
      </c>
      <c r="R5" s="13" t="s">
        <v>1597</v>
      </c>
      <c r="S5" s="21" t="n">
        <v>2100</v>
      </c>
      <c r="T5" s="21" t="n">
        <v>15000</v>
      </c>
      <c r="U5" s="18" t="n">
        <f aca="false">IFERROR(S5/T5,"")</f>
        <v>0.14</v>
      </c>
      <c r="V5" s="13" t="s">
        <v>1598</v>
      </c>
      <c r="W5" s="13" t="s">
        <v>1599</v>
      </c>
      <c r="X5" s="10" t="str">
        <f aca="false">INDEX(Missions!$J$2:$J$100,MATCH(B5,Missions!$A$2:$A$100,0))</f>
        <v>$</v>
      </c>
      <c r="Y5" s="14"/>
    </row>
    <row r="6" customFormat="false" ht="90.75" hidden="false" customHeight="true" outlineLevel="0" collapsed="false">
      <c r="A6" s="9" t="s">
        <v>1600</v>
      </c>
      <c r="B6" s="9" t="s">
        <v>87</v>
      </c>
      <c r="C6" s="9" t="s">
        <v>1601</v>
      </c>
      <c r="D6" s="9" t="s">
        <v>92</v>
      </c>
      <c r="E6" s="9" t="s">
        <v>1602</v>
      </c>
      <c r="F6" s="9" t="s">
        <v>1603</v>
      </c>
      <c r="G6" s="9" t="s">
        <v>1554</v>
      </c>
      <c r="H6" s="9" t="n">
        <v>3</v>
      </c>
      <c r="I6" s="9" t="n">
        <v>6</v>
      </c>
      <c r="J6" s="17" t="n">
        <v>14</v>
      </c>
      <c r="K6" s="17" t="n">
        <v>20</v>
      </c>
      <c r="L6" s="18" t="n">
        <f aca="false">IFERROR(J6/K6,"")</f>
        <v>0.7</v>
      </c>
      <c r="M6" s="9" t="s">
        <v>1604</v>
      </c>
      <c r="N6" s="9" t="s">
        <v>1605</v>
      </c>
      <c r="O6" s="9"/>
      <c r="P6" s="13" t="s">
        <v>1606</v>
      </c>
      <c r="Q6" s="13" t="s">
        <v>1607</v>
      </c>
      <c r="R6" s="13" t="s">
        <v>1608</v>
      </c>
      <c r="S6" s="21" t="n">
        <v>6500</v>
      </c>
      <c r="T6" s="21" t="n">
        <v>20000</v>
      </c>
      <c r="U6" s="18" t="n">
        <f aca="false">IFERROR(S6/T6,"")</f>
        <v>0.325</v>
      </c>
      <c r="V6" s="13" t="s">
        <v>1609</v>
      </c>
      <c r="W6" s="13" t="s">
        <v>1610</v>
      </c>
      <c r="X6" s="10" t="str">
        <f aca="false">INDEX(Missions!$J$2:$J$100,MATCH(B6,Missions!$A$2:$A$100,0))</f>
        <v>$</v>
      </c>
      <c r="Y6" s="14"/>
    </row>
    <row r="7" customFormat="false" ht="124.5" hidden="false" customHeight="true" outlineLevel="0" collapsed="false">
      <c r="A7" s="9" t="s">
        <v>1611</v>
      </c>
      <c r="B7" s="9" t="s">
        <v>104</v>
      </c>
      <c r="C7" s="9" t="s">
        <v>1612</v>
      </c>
      <c r="D7" s="9" t="s">
        <v>111</v>
      </c>
      <c r="E7" s="9" t="s">
        <v>1613</v>
      </c>
      <c r="F7" s="9" t="s">
        <v>1614</v>
      </c>
      <c r="G7" s="9" t="s">
        <v>1554</v>
      </c>
      <c r="H7" s="9" t="n">
        <v>12</v>
      </c>
      <c r="I7" s="9" t="n">
        <v>16</v>
      </c>
      <c r="J7" s="17" t="n">
        <v>9</v>
      </c>
      <c r="K7" s="17" t="n">
        <v>22</v>
      </c>
      <c r="L7" s="18" t="n">
        <f aca="false">IFERROR(J7/K7,"")</f>
        <v>0.409090909090909</v>
      </c>
      <c r="M7" s="9" t="s">
        <v>1615</v>
      </c>
      <c r="N7" s="9" t="s">
        <v>1616</v>
      </c>
      <c r="O7" s="9" t="s">
        <v>1617</v>
      </c>
      <c r="P7" s="13" t="s">
        <v>1618</v>
      </c>
      <c r="Q7" s="13" t="s">
        <v>1619</v>
      </c>
      <c r="R7" s="13" t="s">
        <v>1620</v>
      </c>
      <c r="S7" s="21" t="n">
        <v>1800000</v>
      </c>
      <c r="T7" s="21" t="n">
        <v>3200000</v>
      </c>
      <c r="U7" s="18" t="n">
        <f aca="false">IFERROR(S7/T7,"")</f>
        <v>0.5625</v>
      </c>
      <c r="V7" s="13" t="s">
        <v>1621</v>
      </c>
      <c r="W7" s="13" t="s">
        <v>1622</v>
      </c>
      <c r="X7" s="10" t="str">
        <f aca="false">INDEX(Missions!$J$2:$J$100,MATCH(B7,Missions!$A$2:$A$100,0))</f>
        <v>₹</v>
      </c>
      <c r="Y7" s="14"/>
    </row>
    <row r="8" customFormat="false" ht="68.25" hidden="false" customHeight="true" outlineLevel="0" collapsed="false">
      <c r="A8" s="9" t="s">
        <v>1623</v>
      </c>
      <c r="B8" s="9" t="s">
        <v>104</v>
      </c>
      <c r="C8" s="9" t="s">
        <v>1624</v>
      </c>
      <c r="D8" s="9" t="s">
        <v>1625</v>
      </c>
      <c r="E8" s="9" t="s">
        <v>1626</v>
      </c>
      <c r="F8" s="9" t="s">
        <v>1627</v>
      </c>
      <c r="G8" s="9" t="s">
        <v>108</v>
      </c>
      <c r="H8" s="9" t="n">
        <v>4</v>
      </c>
      <c r="I8" s="9" t="n">
        <v>5</v>
      </c>
      <c r="J8" s="17" t="n">
        <v>5</v>
      </c>
      <c r="K8" s="17" t="n">
        <v>22</v>
      </c>
      <c r="L8" s="18" t="n">
        <f aca="false">IFERROR(J8/K8,"")</f>
        <v>0.227272727272727</v>
      </c>
      <c r="M8" s="9" t="s">
        <v>1628</v>
      </c>
      <c r="N8" s="9" t="s">
        <v>1629</v>
      </c>
      <c r="O8" s="9" t="s">
        <v>1630</v>
      </c>
      <c r="P8" s="13" t="s">
        <v>1631</v>
      </c>
      <c r="Q8" s="13" t="s">
        <v>1632</v>
      </c>
      <c r="R8" s="13" t="s">
        <v>1633</v>
      </c>
      <c r="S8" s="21" t="n">
        <v>200000</v>
      </c>
      <c r="T8" s="21" t="n">
        <v>200000</v>
      </c>
      <c r="U8" s="18" t="n">
        <f aca="false">IFERROR(S8/T8,"")</f>
        <v>1</v>
      </c>
      <c r="V8" s="13" t="s">
        <v>1634</v>
      </c>
      <c r="W8" s="13" t="s">
        <v>1635</v>
      </c>
      <c r="X8" s="10" t="str">
        <f aca="false">INDEX(Missions!$J$2:$J$100,MATCH(B8,Missions!$A$2:$A$100,0))</f>
        <v>₹</v>
      </c>
      <c r="Y8" s="14"/>
    </row>
    <row r="9" customFormat="false" ht="102" hidden="false" customHeight="true" outlineLevel="0" collapsed="false">
      <c r="A9" s="9" t="s">
        <v>1636</v>
      </c>
      <c r="B9" s="9" t="s">
        <v>104</v>
      </c>
      <c r="C9" s="9" t="s">
        <v>1637</v>
      </c>
      <c r="D9" s="9" t="s">
        <v>1638</v>
      </c>
      <c r="E9" s="9" t="s">
        <v>1639</v>
      </c>
      <c r="F9" s="9" t="s">
        <v>1640</v>
      </c>
      <c r="G9" s="9" t="s">
        <v>1554</v>
      </c>
      <c r="H9" s="9" t="n">
        <v>9</v>
      </c>
      <c r="I9" s="9" t="n">
        <v>8</v>
      </c>
      <c r="J9" s="17" t="n">
        <v>7</v>
      </c>
      <c r="K9" s="17" t="n">
        <v>22</v>
      </c>
      <c r="L9" s="18" t="n">
        <f aca="false">IFERROR(J9/K9,"")</f>
        <v>0.318181818181818</v>
      </c>
      <c r="M9" s="9" t="s">
        <v>1641</v>
      </c>
      <c r="N9" s="9" t="s">
        <v>1642</v>
      </c>
      <c r="O9" s="9"/>
      <c r="P9" s="13" t="s">
        <v>1643</v>
      </c>
      <c r="Q9" s="13" t="s">
        <v>1644</v>
      </c>
      <c r="R9" s="13" t="s">
        <v>1645</v>
      </c>
      <c r="S9" s="21" t="n">
        <v>650000</v>
      </c>
      <c r="T9" s="21" t="n">
        <v>900000</v>
      </c>
      <c r="U9" s="18" t="n">
        <f aca="false">IFERROR(S9/T9,"")</f>
        <v>0.722222222222222</v>
      </c>
      <c r="V9" s="13" t="s">
        <v>1646</v>
      </c>
      <c r="W9" s="13" t="s">
        <v>1647</v>
      </c>
      <c r="X9" s="10" t="str">
        <f aca="false">INDEX(Missions!$J$2:$J$100,MATCH(B9,Missions!$A$2:$A$100,0))</f>
        <v>₹</v>
      </c>
      <c r="Y9" s="14"/>
    </row>
    <row r="10" customFormat="false" ht="79.5" hidden="false" customHeight="true" outlineLevel="0" collapsed="false">
      <c r="A10" s="9" t="s">
        <v>1648</v>
      </c>
      <c r="B10" s="9" t="s">
        <v>124</v>
      </c>
      <c r="C10" s="9" t="s">
        <v>1649</v>
      </c>
      <c r="D10" s="9" t="s">
        <v>128</v>
      </c>
      <c r="E10" s="9" t="s">
        <v>1650</v>
      </c>
      <c r="F10" s="9" t="s">
        <v>1651</v>
      </c>
      <c r="G10" s="9" t="s">
        <v>1554</v>
      </c>
      <c r="H10" s="9" t="n">
        <v>6</v>
      </c>
      <c r="I10" s="9" t="n">
        <v>8</v>
      </c>
      <c r="J10" s="17" t="n">
        <v>6</v>
      </c>
      <c r="K10" s="17" t="n">
        <v>10</v>
      </c>
      <c r="L10" s="18" t="n">
        <f aca="false">IFERROR(J10/K10,"")</f>
        <v>0.6</v>
      </c>
      <c r="M10" s="9" t="s">
        <v>1652</v>
      </c>
      <c r="N10" s="9" t="s">
        <v>1653</v>
      </c>
      <c r="O10" s="9" t="s">
        <v>1654</v>
      </c>
      <c r="P10" s="13" t="s">
        <v>1655</v>
      </c>
      <c r="Q10" s="13" t="s">
        <v>1656</v>
      </c>
      <c r="R10" s="13" t="s">
        <v>1657</v>
      </c>
      <c r="S10" s="21" t="n">
        <v>14000</v>
      </c>
      <c r="T10" s="21" t="n">
        <v>22000</v>
      </c>
      <c r="U10" s="18" t="n">
        <f aca="false">IFERROR(S10/T10,"")</f>
        <v>0.636363636363636</v>
      </c>
      <c r="V10" s="13" t="s">
        <v>1658</v>
      </c>
      <c r="W10" s="13" t="s">
        <v>1659</v>
      </c>
      <c r="X10" s="10" t="str">
        <f aca="false">INDEX(Missions!$J$2:$J$100,MATCH(B10,Missions!$A$2:$A$100,0))</f>
        <v>$</v>
      </c>
      <c r="Y10" s="14"/>
    </row>
    <row r="11" customFormat="false" ht="79.5" hidden="false" customHeight="true" outlineLevel="0" collapsed="false">
      <c r="A11" s="9" t="s">
        <v>1660</v>
      </c>
      <c r="B11" s="9" t="s">
        <v>124</v>
      </c>
      <c r="C11" s="9" t="s">
        <v>1661</v>
      </c>
      <c r="D11" s="9" t="s">
        <v>299</v>
      </c>
      <c r="E11" s="9" t="s">
        <v>1662</v>
      </c>
      <c r="F11" s="9" t="s">
        <v>1663</v>
      </c>
      <c r="G11" s="9" t="s">
        <v>1554</v>
      </c>
      <c r="H11" s="9" t="n">
        <v>4</v>
      </c>
      <c r="I11" s="9" t="n">
        <v>30</v>
      </c>
      <c r="J11" s="17" t="n">
        <v>4</v>
      </c>
      <c r="K11" s="17" t="n">
        <v>10</v>
      </c>
      <c r="L11" s="18" t="n">
        <f aca="false">IFERROR(J11/K11,"")</f>
        <v>0.4</v>
      </c>
      <c r="M11" s="9" t="s">
        <v>1664</v>
      </c>
      <c r="N11" s="9" t="s">
        <v>1580</v>
      </c>
      <c r="O11" s="9"/>
      <c r="P11" s="13" t="s">
        <v>1665</v>
      </c>
      <c r="Q11" s="13" t="s">
        <v>1666</v>
      </c>
      <c r="R11" s="13" t="s">
        <v>1667</v>
      </c>
      <c r="S11" s="21" t="n">
        <v>6500</v>
      </c>
      <c r="T11" s="21" t="n">
        <v>12000</v>
      </c>
      <c r="U11" s="18" t="n">
        <f aca="false">IFERROR(S11/T11,"")</f>
        <v>0.541666666666667</v>
      </c>
      <c r="V11" s="13" t="s">
        <v>1664</v>
      </c>
      <c r="W11" s="13" t="s">
        <v>1668</v>
      </c>
      <c r="X11" s="10" t="str">
        <f aca="false">INDEX(Missions!$J$2:$J$100,MATCH(B11,Missions!$A$2:$A$100,0))</f>
        <v>$</v>
      </c>
      <c r="Y11" s="14"/>
    </row>
    <row r="12" customFormat="false" ht="90.75" hidden="false" customHeight="true" outlineLevel="0" collapsed="false">
      <c r="A12" s="9" t="s">
        <v>1669</v>
      </c>
      <c r="B12" s="9" t="s">
        <v>139</v>
      </c>
      <c r="C12" s="9" t="s">
        <v>1670</v>
      </c>
      <c r="D12" s="9" t="s">
        <v>1671</v>
      </c>
      <c r="E12" s="9" t="s">
        <v>1672</v>
      </c>
      <c r="F12" s="9" t="s">
        <v>1673</v>
      </c>
      <c r="G12" s="9" t="s">
        <v>143</v>
      </c>
      <c r="H12" s="9" t="n">
        <v>4</v>
      </c>
      <c r="I12" s="9" t="n">
        <v>5</v>
      </c>
      <c r="J12" s="17" t="n">
        <v>74</v>
      </c>
      <c r="K12" s="17" t="n">
        <v>200</v>
      </c>
      <c r="L12" s="18" t="n">
        <f aca="false">IFERROR(J12/K12,"")</f>
        <v>0.37</v>
      </c>
      <c r="M12" s="9" t="s">
        <v>1674</v>
      </c>
      <c r="N12" s="9" t="s">
        <v>1675</v>
      </c>
      <c r="O12" s="9" t="s">
        <v>1676</v>
      </c>
      <c r="P12" s="13" t="s">
        <v>1677</v>
      </c>
      <c r="Q12" s="13" t="s">
        <v>1678</v>
      </c>
      <c r="R12" s="13" t="s">
        <v>1679</v>
      </c>
      <c r="S12" s="21" t="n">
        <v>31000</v>
      </c>
      <c r="T12" s="21" t="n">
        <v>52000</v>
      </c>
      <c r="U12" s="18" t="n">
        <f aca="false">IFERROR(S12/T12,"")</f>
        <v>0.596153846153846</v>
      </c>
      <c r="V12" s="13" t="s">
        <v>1680</v>
      </c>
      <c r="W12" s="13" t="s">
        <v>1681</v>
      </c>
      <c r="X12" s="10" t="str">
        <f aca="false">INDEX(Missions!$J$2:$J$100,MATCH(B12,Missions!$A$2:$A$100,0))</f>
        <v>$</v>
      </c>
      <c r="Y12" s="14"/>
    </row>
    <row r="13" customFormat="false" ht="45.75" hidden="false" customHeight="true" outlineLevel="0" collapsed="false">
      <c r="A13" s="9" t="s">
        <v>1682</v>
      </c>
      <c r="B13" s="9" t="s">
        <v>139</v>
      </c>
      <c r="C13" s="9" t="s">
        <v>1683</v>
      </c>
      <c r="D13" s="9" t="s">
        <v>1684</v>
      </c>
      <c r="E13" s="9" t="s">
        <v>1685</v>
      </c>
      <c r="F13" s="9" t="s">
        <v>1686</v>
      </c>
      <c r="G13" s="9" t="s">
        <v>1554</v>
      </c>
      <c r="H13" s="9" t="n">
        <v>0</v>
      </c>
      <c r="I13" s="9" t="n">
        <v>6</v>
      </c>
      <c r="J13" s="17" t="n">
        <v>40</v>
      </c>
      <c r="K13" s="17" t="n">
        <v>200</v>
      </c>
      <c r="L13" s="18" t="n">
        <f aca="false">IFERROR(J13/K13,"")</f>
        <v>0.2</v>
      </c>
      <c r="M13" s="9" t="s">
        <v>1687</v>
      </c>
      <c r="N13" s="9" t="s">
        <v>1688</v>
      </c>
      <c r="O13" s="9" t="s">
        <v>1689</v>
      </c>
      <c r="P13" s="13" t="s">
        <v>1690</v>
      </c>
      <c r="Q13" s="13" t="s">
        <v>1691</v>
      </c>
      <c r="R13" s="13" t="s">
        <v>1692</v>
      </c>
      <c r="S13" s="21" t="n">
        <v>9000</v>
      </c>
      <c r="T13" s="21" t="n">
        <v>14000</v>
      </c>
      <c r="U13" s="18" t="n">
        <f aca="false">IFERROR(S13/T13,"")</f>
        <v>0.642857142857143</v>
      </c>
      <c r="V13" s="13" t="s">
        <v>1687</v>
      </c>
      <c r="W13" s="13" t="s">
        <v>1693</v>
      </c>
      <c r="X13" s="10" t="str">
        <f aca="false">INDEX(Missions!$J$2:$J$100,MATCH(B13,Missions!$A$2:$A$100,0))</f>
        <v>$</v>
      </c>
      <c r="Y13" s="14"/>
    </row>
    <row r="14" customFormat="false" ht="79.5" hidden="false" customHeight="true" outlineLevel="0" collapsed="false">
      <c r="A14" s="9" t="s">
        <v>1694</v>
      </c>
      <c r="B14" s="9" t="s">
        <v>157</v>
      </c>
      <c r="C14" s="9" t="s">
        <v>1695</v>
      </c>
      <c r="D14" s="9" t="s">
        <v>162</v>
      </c>
      <c r="E14" s="9" t="s">
        <v>1696</v>
      </c>
      <c r="F14" s="9" t="s">
        <v>1697</v>
      </c>
      <c r="G14" s="9" t="s">
        <v>160</v>
      </c>
      <c r="H14" s="9" t="n">
        <v>2</v>
      </c>
      <c r="I14" s="9" t="n">
        <v>3</v>
      </c>
      <c r="J14" s="17" t="n">
        <v>96</v>
      </c>
      <c r="K14" s="17" t="n">
        <v>150</v>
      </c>
      <c r="L14" s="18" t="n">
        <f aca="false">IFERROR(J14/K14,"")</f>
        <v>0.64</v>
      </c>
      <c r="M14" s="9" t="s">
        <v>1592</v>
      </c>
      <c r="N14" s="9" t="s">
        <v>1698</v>
      </c>
      <c r="O14" s="9" t="s">
        <v>1699</v>
      </c>
      <c r="P14" s="13" t="s">
        <v>1700</v>
      </c>
      <c r="Q14" s="13" t="s">
        <v>1701</v>
      </c>
      <c r="R14" s="13" t="s">
        <v>1702</v>
      </c>
      <c r="S14" s="21" t="n">
        <v>9600</v>
      </c>
      <c r="T14" s="21" t="n">
        <v>30000</v>
      </c>
      <c r="U14" s="18" t="n">
        <f aca="false">IFERROR(S14/T14,"")</f>
        <v>0.32</v>
      </c>
      <c r="V14" s="13" t="s">
        <v>1703</v>
      </c>
      <c r="W14" s="13" t="s">
        <v>1704</v>
      </c>
      <c r="X14" s="10" t="str">
        <f aca="false">INDEX(Missions!$J$2:$J$100,MATCH(B14,Missions!$A$2:$A$100,0))</f>
        <v>$</v>
      </c>
      <c r="Y14" s="14"/>
    </row>
    <row r="15" customFormat="false" ht="90.75" hidden="false" customHeight="true" outlineLevel="0" collapsed="false">
      <c r="A15" s="9" t="s">
        <v>1705</v>
      </c>
      <c r="B15" s="9" t="s">
        <v>174</v>
      </c>
      <c r="C15" s="9" t="s">
        <v>1706</v>
      </c>
      <c r="D15" s="9" t="s">
        <v>180</v>
      </c>
      <c r="E15" s="9" t="s">
        <v>1707</v>
      </c>
      <c r="F15" s="9" t="s">
        <v>1708</v>
      </c>
      <c r="G15" s="9" t="s">
        <v>1554</v>
      </c>
      <c r="H15" s="9" t="n">
        <v>7</v>
      </c>
      <c r="I15" s="9" t="n">
        <v>9</v>
      </c>
      <c r="J15" s="17" t="n">
        <v>9</v>
      </c>
      <c r="K15" s="17" t="n">
        <v>10</v>
      </c>
      <c r="L15" s="18" t="n">
        <f aca="false">IFERROR(J15/K15,"")</f>
        <v>0.9</v>
      </c>
      <c r="M15" s="9" t="s">
        <v>1555</v>
      </c>
      <c r="N15" s="9" t="s">
        <v>1709</v>
      </c>
      <c r="O15" s="9" t="s">
        <v>1710</v>
      </c>
      <c r="P15" s="13" t="s">
        <v>1711</v>
      </c>
      <c r="Q15" s="13" t="s">
        <v>1712</v>
      </c>
      <c r="R15" s="13" t="s">
        <v>1713</v>
      </c>
      <c r="S15" s="21" t="n">
        <v>104000</v>
      </c>
      <c r="T15" s="21" t="n">
        <v>120000</v>
      </c>
      <c r="U15" s="18" t="n">
        <f aca="false">IFERROR(S15/T15,"")</f>
        <v>0.866666666666667</v>
      </c>
      <c r="V15" s="13" t="s">
        <v>1714</v>
      </c>
      <c r="W15" s="13" t="s">
        <v>1715</v>
      </c>
      <c r="X15" s="10" t="str">
        <f aca="false">INDEX(Missions!$J$2:$J$100,MATCH(B15,Missions!$A$2:$A$100,0))</f>
        <v>$</v>
      </c>
      <c r="Y15" s="14"/>
    </row>
    <row r="16" customFormat="false" ht="79.5" hidden="false" customHeight="true" outlineLevel="0" collapsed="false">
      <c r="A16" s="9" t="s">
        <v>1716</v>
      </c>
      <c r="B16" s="9" t="s">
        <v>193</v>
      </c>
      <c r="C16" s="9" t="s">
        <v>1717</v>
      </c>
      <c r="D16" s="9" t="s">
        <v>1718</v>
      </c>
      <c r="E16" s="9" t="s">
        <v>1719</v>
      </c>
      <c r="F16" s="9" t="s">
        <v>1720</v>
      </c>
      <c r="G16" s="9" t="s">
        <v>1554</v>
      </c>
      <c r="H16" s="9" t="n">
        <v>9</v>
      </c>
      <c r="I16" s="9" t="n">
        <v>12</v>
      </c>
      <c r="J16" s="17" t="n">
        <v>4</v>
      </c>
      <c r="K16" s="17" t="n">
        <v>6</v>
      </c>
      <c r="L16" s="18" t="n">
        <f aca="false">IFERROR(J16/K16,"")</f>
        <v>0.666666666666667</v>
      </c>
      <c r="M16" s="9" t="s">
        <v>1721</v>
      </c>
      <c r="N16" s="9" t="s">
        <v>1722</v>
      </c>
      <c r="O16" s="9"/>
      <c r="P16" s="13" t="s">
        <v>1723</v>
      </c>
      <c r="Q16" s="13" t="s">
        <v>1724</v>
      </c>
      <c r="R16" s="13" t="s">
        <v>1725</v>
      </c>
      <c r="S16" s="21" t="n">
        <v>210000</v>
      </c>
      <c r="T16" s="21" t="n">
        <v>350000</v>
      </c>
      <c r="U16" s="18" t="n">
        <f aca="false">IFERROR(S16/T16,"")</f>
        <v>0.6</v>
      </c>
      <c r="V16" s="13" t="s">
        <v>1726</v>
      </c>
      <c r="W16" s="13" t="s">
        <v>1727</v>
      </c>
      <c r="X16" s="10" t="str">
        <f aca="false">INDEX(Missions!$J$2:$J$100,MATCH(B16,Missions!$A$2:$A$100,0))</f>
        <v>₹</v>
      </c>
      <c r="Y16" s="14"/>
    </row>
    <row r="17" customFormat="false" ht="90.75" hidden="false" customHeight="true" outlineLevel="0" collapsed="false">
      <c r="A17" s="9" t="s">
        <v>1728</v>
      </c>
      <c r="B17" s="9" t="s">
        <v>193</v>
      </c>
      <c r="C17" s="9" t="s">
        <v>1729</v>
      </c>
      <c r="D17" s="9" t="s">
        <v>198</v>
      </c>
      <c r="E17" s="9" t="s">
        <v>1730</v>
      </c>
      <c r="F17" s="9" t="s">
        <v>1731</v>
      </c>
      <c r="G17" s="9" t="s">
        <v>1554</v>
      </c>
      <c r="H17" s="9" t="n">
        <v>14</v>
      </c>
      <c r="I17" s="9" t="n">
        <v>6</v>
      </c>
      <c r="J17" s="17" t="n">
        <v>3</v>
      </c>
      <c r="K17" s="17" t="n">
        <v>6</v>
      </c>
      <c r="L17" s="18" t="n">
        <f aca="false">IFERROR(J17/K17,"")</f>
        <v>0.5</v>
      </c>
      <c r="M17" s="9" t="s">
        <v>1732</v>
      </c>
      <c r="N17" s="9" t="s">
        <v>1733</v>
      </c>
      <c r="O17" s="9"/>
      <c r="P17" s="13" t="s">
        <v>1734</v>
      </c>
      <c r="Q17" s="13" t="s">
        <v>1735</v>
      </c>
      <c r="R17" s="13" t="s">
        <v>1736</v>
      </c>
      <c r="S17" s="21" t="n">
        <v>180000</v>
      </c>
      <c r="T17" s="21" t="n">
        <v>400000</v>
      </c>
      <c r="U17" s="18" t="n">
        <f aca="false">IFERROR(S17/T17,"")</f>
        <v>0.45</v>
      </c>
      <c r="V17" s="13" t="s">
        <v>1737</v>
      </c>
      <c r="W17" s="13" t="s">
        <v>1738</v>
      </c>
      <c r="X17" s="10" t="str">
        <f aca="false">INDEX(Missions!$J$2:$J$100,MATCH(B17,Missions!$A$2:$A$100,0))</f>
        <v>₹</v>
      </c>
      <c r="Y17" s="14"/>
    </row>
    <row r="18" customFormat="false" ht="57" hidden="false" customHeight="true" outlineLevel="0" collapsed="false">
      <c r="A18" s="9" t="s">
        <v>1739</v>
      </c>
      <c r="B18" s="9" t="s">
        <v>193</v>
      </c>
      <c r="C18" s="9" t="s">
        <v>1740</v>
      </c>
      <c r="D18" s="9" t="s">
        <v>1741</v>
      </c>
      <c r="E18" s="9" t="s">
        <v>1742</v>
      </c>
      <c r="F18" s="9" t="s">
        <v>1743</v>
      </c>
      <c r="G18" s="9" t="s">
        <v>1554</v>
      </c>
      <c r="H18" s="9" t="n">
        <v>4</v>
      </c>
      <c r="I18" s="9" t="n">
        <v>5</v>
      </c>
      <c r="J18" s="17" t="n">
        <v>2</v>
      </c>
      <c r="K18" s="17" t="n">
        <v>6</v>
      </c>
      <c r="L18" s="18" t="n">
        <f aca="false">IFERROR(J18/K18,"")</f>
        <v>0.333333333333333</v>
      </c>
      <c r="M18" s="9" t="s">
        <v>1664</v>
      </c>
      <c r="N18" s="9" t="s">
        <v>1744</v>
      </c>
      <c r="O18" s="9" t="s">
        <v>1745</v>
      </c>
      <c r="P18" s="13" t="s">
        <v>1746</v>
      </c>
      <c r="Q18" s="13" t="s">
        <v>1747</v>
      </c>
      <c r="R18" s="13" t="s">
        <v>1748</v>
      </c>
      <c r="S18" s="21" t="n">
        <v>60000</v>
      </c>
      <c r="T18" s="21" t="n">
        <v>250000</v>
      </c>
      <c r="U18" s="18" t="n">
        <f aca="false">IFERROR(S18/T18,"")</f>
        <v>0.24</v>
      </c>
      <c r="V18" s="13" t="s">
        <v>1664</v>
      </c>
      <c r="W18" s="13" t="s">
        <v>1749</v>
      </c>
      <c r="X18" s="10" t="str">
        <f aca="false">INDEX(Missions!$J$2:$J$100,MATCH(B18,Missions!$A$2:$A$100,0))</f>
        <v>₹</v>
      </c>
      <c r="Y18" s="14"/>
    </row>
    <row r="19" customFormat="false" ht="79.5" hidden="false" customHeight="true" outlineLevel="0" collapsed="false">
      <c r="A19" s="9" t="s">
        <v>1750</v>
      </c>
      <c r="B19" s="9" t="s">
        <v>210</v>
      </c>
      <c r="C19" s="9" t="s">
        <v>1751</v>
      </c>
      <c r="D19" s="9" t="s">
        <v>215</v>
      </c>
      <c r="E19" s="9" t="s">
        <v>1752</v>
      </c>
      <c r="F19" s="9" t="s">
        <v>1753</v>
      </c>
      <c r="G19" s="9" t="s">
        <v>1554</v>
      </c>
      <c r="H19" s="9" t="n">
        <v>11</v>
      </c>
      <c r="I19" s="9" t="n">
        <v>14</v>
      </c>
      <c r="J19" s="17" t="n">
        <v>140</v>
      </c>
      <c r="K19" s="17" t="n">
        <v>310</v>
      </c>
      <c r="L19" s="18" t="n">
        <f aca="false">IFERROR(J19/K19,"")</f>
        <v>0.451612903225806</v>
      </c>
      <c r="M19" s="9" t="s">
        <v>1754</v>
      </c>
      <c r="N19" s="9" t="s">
        <v>1755</v>
      </c>
      <c r="O19" s="9" t="s">
        <v>1756</v>
      </c>
      <c r="P19" s="13" t="s">
        <v>1757</v>
      </c>
      <c r="Q19" s="13" t="s">
        <v>1758</v>
      </c>
      <c r="R19" s="13" t="s">
        <v>1759</v>
      </c>
      <c r="S19" s="21" t="n">
        <v>320000</v>
      </c>
      <c r="T19" s="21" t="n">
        <v>500000</v>
      </c>
      <c r="U19" s="18" t="n">
        <f aca="false">IFERROR(S19/T19,"")</f>
        <v>0.64</v>
      </c>
      <c r="V19" s="13" t="s">
        <v>1760</v>
      </c>
      <c r="W19" s="13" t="s">
        <v>1761</v>
      </c>
      <c r="X19" s="10" t="str">
        <f aca="false">INDEX(Missions!$J$2:$J$100,MATCH(B19,Missions!$A$2:$A$100,0))</f>
        <v>₹</v>
      </c>
      <c r="Y19" s="14"/>
    </row>
    <row r="20" customFormat="false" ht="57" hidden="false" customHeight="true" outlineLevel="0" collapsed="false">
      <c r="A20" s="9" t="s">
        <v>1762</v>
      </c>
      <c r="B20" s="9" t="s">
        <v>227</v>
      </c>
      <c r="C20" s="9" t="s">
        <v>1763</v>
      </c>
      <c r="D20" s="9" t="s">
        <v>232</v>
      </c>
      <c r="E20" s="9" t="s">
        <v>1764</v>
      </c>
      <c r="F20" s="9" t="s">
        <v>1765</v>
      </c>
      <c r="G20" s="9" t="s">
        <v>1554</v>
      </c>
      <c r="H20" s="9" t="n">
        <v>22</v>
      </c>
      <c r="I20" s="9" t="n">
        <v>10</v>
      </c>
      <c r="J20" s="17" t="n">
        <v>1240</v>
      </c>
      <c r="K20" s="17" t="n">
        <v>5000</v>
      </c>
      <c r="L20" s="18" t="n">
        <f aca="false">IFERROR(J20/K20,"")</f>
        <v>0.248</v>
      </c>
      <c r="M20" s="9" t="s">
        <v>1766</v>
      </c>
      <c r="N20" s="9" t="s">
        <v>1767</v>
      </c>
      <c r="O20" s="9"/>
      <c r="P20" s="13" t="s">
        <v>1768</v>
      </c>
      <c r="Q20" s="13" t="s">
        <v>1769</v>
      </c>
      <c r="R20" s="13" t="s">
        <v>1770</v>
      </c>
      <c r="S20" s="21" t="n">
        <v>240000</v>
      </c>
      <c r="T20" s="21" t="n">
        <v>800000</v>
      </c>
      <c r="U20" s="18" t="n">
        <f aca="false">IFERROR(S20/T20,"")</f>
        <v>0.3</v>
      </c>
      <c r="V20" s="13" t="s">
        <v>1771</v>
      </c>
      <c r="W20" s="13" t="s">
        <v>1772</v>
      </c>
      <c r="X20" s="10" t="str">
        <f aca="false">INDEX(Missions!$J$2:$J$100,MATCH(B20,Missions!$A$2:$A$100,0))</f>
        <v>₹</v>
      </c>
      <c r="Y20" s="14"/>
    </row>
    <row r="21" customFormat="false" ht="90.75" hidden="false" customHeight="true" outlineLevel="0" collapsed="false">
      <c r="A21" s="9" t="s">
        <v>1773</v>
      </c>
      <c r="B21" s="9" t="s">
        <v>244</v>
      </c>
      <c r="C21" s="9" t="s">
        <v>1774</v>
      </c>
      <c r="D21" s="9" t="s">
        <v>248</v>
      </c>
      <c r="E21" s="9" t="s">
        <v>1775</v>
      </c>
      <c r="F21" s="9" t="s">
        <v>1776</v>
      </c>
      <c r="G21" s="9" t="s">
        <v>143</v>
      </c>
      <c r="H21" s="9" t="n">
        <v>5</v>
      </c>
      <c r="I21" s="9" t="n">
        <v>6</v>
      </c>
      <c r="J21" s="17" t="n">
        <v>41</v>
      </c>
      <c r="K21" s="17" t="n">
        <v>100</v>
      </c>
      <c r="L21" s="18" t="n">
        <f aca="false">IFERROR(J21/K21,"")</f>
        <v>0.41</v>
      </c>
      <c r="M21" s="9" t="s">
        <v>1777</v>
      </c>
      <c r="N21" s="9" t="s">
        <v>1778</v>
      </c>
      <c r="O21" s="9" t="s">
        <v>1779</v>
      </c>
      <c r="P21" s="13" t="s">
        <v>1780</v>
      </c>
      <c r="Q21" s="13" t="s">
        <v>1781</v>
      </c>
      <c r="R21" s="13" t="s">
        <v>1782</v>
      </c>
      <c r="S21" s="21" t="n">
        <v>600000</v>
      </c>
      <c r="T21" s="21" t="n">
        <v>600000</v>
      </c>
      <c r="U21" s="18" t="n">
        <f aca="false">IFERROR(S21/T21,"")</f>
        <v>1</v>
      </c>
      <c r="V21" s="13" t="s">
        <v>1783</v>
      </c>
      <c r="W21" s="13" t="s">
        <v>1784</v>
      </c>
      <c r="X21" s="10" t="str">
        <f aca="false">INDEX(Missions!$J$2:$J$100,MATCH(B21,Missions!$A$2:$A$100,0))</f>
        <v>₹</v>
      </c>
      <c r="Y21" s="14"/>
    </row>
    <row r="22" customFormat="false" ht="113.25" hidden="false" customHeight="true" outlineLevel="0" collapsed="false">
      <c r="A22" s="9" t="s">
        <v>1785</v>
      </c>
      <c r="B22" s="9" t="s">
        <v>260</v>
      </c>
      <c r="C22" s="9" t="s">
        <v>1786</v>
      </c>
      <c r="D22" s="9" t="s">
        <v>265</v>
      </c>
      <c r="E22" s="9" t="s">
        <v>1787</v>
      </c>
      <c r="F22" s="9" t="s">
        <v>1788</v>
      </c>
      <c r="G22" s="9" t="s">
        <v>1789</v>
      </c>
      <c r="H22" s="9" t="n">
        <v>3</v>
      </c>
      <c r="I22" s="9" t="n">
        <v>4</v>
      </c>
      <c r="J22" s="17" t="n">
        <v>0</v>
      </c>
      <c r="K22" s="17" t="n">
        <v>20</v>
      </c>
      <c r="L22" s="18" t="n">
        <f aca="false">IFERROR(J22/K22,"")</f>
        <v>0</v>
      </c>
      <c r="M22" s="9" t="s">
        <v>1790</v>
      </c>
      <c r="N22" s="9" t="s">
        <v>94</v>
      </c>
      <c r="O22" s="9" t="s">
        <v>1791</v>
      </c>
      <c r="P22" s="13" t="s">
        <v>1792</v>
      </c>
      <c r="Q22" s="13" t="s">
        <v>1793</v>
      </c>
      <c r="R22" s="13" t="s">
        <v>1794</v>
      </c>
      <c r="S22" s="21" t="n">
        <v>0</v>
      </c>
      <c r="T22" s="21" t="n">
        <v>25000</v>
      </c>
      <c r="U22" s="18" t="n">
        <f aca="false">IFERROR(S22/T22,"")</f>
        <v>0</v>
      </c>
      <c r="V22" s="13" t="s">
        <v>1795</v>
      </c>
      <c r="W22" s="13" t="s">
        <v>1796</v>
      </c>
      <c r="X22" s="10" t="str">
        <f aca="false">INDEX(Missions!$J$2:$J$100,MATCH(B22,Missions!$A$2:$A$100,0))</f>
        <v>$</v>
      </c>
      <c r="Y22" s="14"/>
    </row>
    <row r="23" customFormat="false" ht="79.5" hidden="false" customHeight="true" outlineLevel="0" collapsed="false">
      <c r="A23" s="9" t="s">
        <v>1797</v>
      </c>
      <c r="B23" s="9" t="s">
        <v>277</v>
      </c>
      <c r="C23" s="9" t="s">
        <v>1798</v>
      </c>
      <c r="D23" s="9" t="s">
        <v>282</v>
      </c>
      <c r="E23" s="9" t="s">
        <v>1799</v>
      </c>
      <c r="F23" s="9" t="s">
        <v>1800</v>
      </c>
      <c r="G23" s="9" t="s">
        <v>280</v>
      </c>
      <c r="H23" s="9" t="n">
        <v>3</v>
      </c>
      <c r="I23" s="9" t="n">
        <v>4</v>
      </c>
      <c r="J23" s="17" t="n">
        <v>4</v>
      </c>
      <c r="K23" s="17" t="n">
        <v>10</v>
      </c>
      <c r="L23" s="18" t="n">
        <f aca="false">IFERROR(J23/K23,"")</f>
        <v>0.4</v>
      </c>
      <c r="M23" s="9" t="s">
        <v>1801</v>
      </c>
      <c r="N23" s="9" t="s">
        <v>1802</v>
      </c>
      <c r="O23" s="9" t="s">
        <v>1803</v>
      </c>
      <c r="P23" s="13" t="s">
        <v>1804</v>
      </c>
      <c r="Q23" s="13" t="s">
        <v>1805</v>
      </c>
      <c r="R23" s="13" t="s">
        <v>1806</v>
      </c>
      <c r="S23" s="21" t="n">
        <v>3200</v>
      </c>
      <c r="T23" s="21" t="n">
        <v>8000</v>
      </c>
      <c r="U23" s="18" t="n">
        <f aca="false">IFERROR(S23/T23,"")</f>
        <v>0.4</v>
      </c>
      <c r="V23" s="13" t="s">
        <v>1807</v>
      </c>
      <c r="W23" s="13" t="s">
        <v>1808</v>
      </c>
      <c r="X23" s="10" t="str">
        <f aca="false">INDEX(Missions!$J$2:$J$100,MATCH(B23,Missions!$A$2:$A$100,0))</f>
        <v>$</v>
      </c>
      <c r="Y23" s="14"/>
    </row>
    <row r="24" customFormat="false" ht="57" hidden="false" customHeight="true" outlineLevel="0" collapsed="false">
      <c r="A24" s="9" t="s">
        <v>1809</v>
      </c>
      <c r="B24" s="9" t="s">
        <v>294</v>
      </c>
      <c r="C24" s="9" t="s">
        <v>1661</v>
      </c>
      <c r="D24" s="9" t="s">
        <v>299</v>
      </c>
      <c r="E24" s="9" t="s">
        <v>1810</v>
      </c>
      <c r="F24" s="9" t="s">
        <v>1811</v>
      </c>
      <c r="G24" s="9" t="s">
        <v>297</v>
      </c>
      <c r="H24" s="9"/>
      <c r="I24" s="9"/>
      <c r="J24" s="17"/>
      <c r="K24" s="17"/>
      <c r="L24" s="18" t="str">
        <f aca="false">IFERROR(J24/K24,"")</f>
        <v/>
      </c>
      <c r="M24" s="9"/>
      <c r="N24" s="9"/>
      <c r="O24" s="9"/>
      <c r="P24" s="13" t="s">
        <v>1812</v>
      </c>
      <c r="Q24" s="13" t="s">
        <v>1813</v>
      </c>
      <c r="R24" s="13" t="s">
        <v>1814</v>
      </c>
      <c r="S24" s="21" t="n">
        <v>12000</v>
      </c>
      <c r="T24" s="21" t="n">
        <v>12000</v>
      </c>
      <c r="U24" s="18" t="n">
        <f aca="false">IFERROR(S24/T24,"")</f>
        <v>1</v>
      </c>
      <c r="V24" s="13" t="s">
        <v>1815</v>
      </c>
      <c r="W24" s="13" t="s">
        <v>1816</v>
      </c>
      <c r="X24" s="10" t="str">
        <f aca="false">INDEX(Missions!$J$2:$J$100,MATCH(B24,Missions!$A$2:$A$100,0))</f>
        <v>$</v>
      </c>
      <c r="Y24" s="14"/>
    </row>
    <row r="25" customFormat="false" ht="57" hidden="false" customHeight="true" outlineLevel="0" collapsed="false">
      <c r="A25" s="9" t="s">
        <v>1817</v>
      </c>
      <c r="B25" s="9" t="s">
        <v>312</v>
      </c>
      <c r="C25" s="9" t="s">
        <v>1661</v>
      </c>
      <c r="D25" s="9" t="s">
        <v>299</v>
      </c>
      <c r="E25" s="9" t="s">
        <v>1818</v>
      </c>
      <c r="F25" s="9" t="s">
        <v>1819</v>
      </c>
      <c r="G25" s="9" t="s">
        <v>297</v>
      </c>
      <c r="H25" s="9"/>
      <c r="I25" s="9"/>
      <c r="J25" s="17"/>
      <c r="K25" s="17"/>
      <c r="L25" s="18" t="str">
        <f aca="false">IFERROR(J25/K25,"")</f>
        <v/>
      </c>
      <c r="M25" s="9"/>
      <c r="N25" s="9"/>
      <c r="O25" s="9"/>
      <c r="P25" s="13" t="s">
        <v>1820</v>
      </c>
      <c r="Q25" s="13" t="s">
        <v>1821</v>
      </c>
      <c r="R25" s="13" t="s">
        <v>1822</v>
      </c>
      <c r="S25" s="21" t="n">
        <v>15000</v>
      </c>
      <c r="T25" s="21" t="n">
        <v>15000</v>
      </c>
      <c r="U25" s="18" t="n">
        <f aca="false">IFERROR(S25/T25,"")</f>
        <v>1</v>
      </c>
      <c r="V25" s="13" t="s">
        <v>1815</v>
      </c>
      <c r="W25" s="13" t="s">
        <v>1823</v>
      </c>
      <c r="X25" s="10" t="str">
        <f aca="false">INDEX(Missions!$J$2:$J$100,MATCH(B25,Missions!$A$2:$A$100,0))</f>
        <v>$</v>
      </c>
      <c r="Y25" s="14"/>
    </row>
    <row r="26" customFormat="false" ht="68.25" hidden="false" customHeight="true" outlineLevel="0" collapsed="false">
      <c r="A26" s="9" t="s">
        <v>1824</v>
      </c>
      <c r="B26" s="9" t="s">
        <v>326</v>
      </c>
      <c r="C26" s="9" t="s">
        <v>1825</v>
      </c>
      <c r="D26" s="9" t="s">
        <v>330</v>
      </c>
      <c r="E26" s="9" t="s">
        <v>1826</v>
      </c>
      <c r="F26" s="9" t="s">
        <v>1827</v>
      </c>
      <c r="G26" s="9" t="s">
        <v>297</v>
      </c>
      <c r="H26" s="9"/>
      <c r="I26" s="9"/>
      <c r="J26" s="17"/>
      <c r="K26" s="17"/>
      <c r="L26" s="18" t="str">
        <f aca="false">IFERROR(J26/K26,"")</f>
        <v/>
      </c>
      <c r="M26" s="9"/>
      <c r="N26" s="9"/>
      <c r="O26" s="9"/>
      <c r="P26" s="13" t="s">
        <v>1828</v>
      </c>
      <c r="Q26" s="13" t="s">
        <v>1829</v>
      </c>
      <c r="R26" s="13" t="s">
        <v>1830</v>
      </c>
      <c r="S26" s="21" t="n">
        <v>400000</v>
      </c>
      <c r="T26" s="21" t="n">
        <v>400000</v>
      </c>
      <c r="U26" s="18" t="n">
        <f aca="false">IFERROR(S26/T26,"")</f>
        <v>1</v>
      </c>
      <c r="V26" s="13" t="s">
        <v>1831</v>
      </c>
      <c r="W26" s="13" t="s">
        <v>1832</v>
      </c>
      <c r="X26" s="10" t="str">
        <f aca="false">INDEX(Missions!$J$2:$J$100,MATCH(B26,Missions!$A$2:$A$100,0))</f>
        <v>₹</v>
      </c>
      <c r="Y26" s="14"/>
    </row>
    <row r="27" customFormat="false" ht="45.75" hidden="false" customHeight="true" outlineLevel="0" collapsed="false">
      <c r="A27" s="9" t="s">
        <v>1833</v>
      </c>
      <c r="B27" s="9" t="s">
        <v>342</v>
      </c>
      <c r="C27" s="9" t="s">
        <v>1834</v>
      </c>
      <c r="D27" s="9" t="s">
        <v>347</v>
      </c>
      <c r="E27" s="9" t="s">
        <v>1835</v>
      </c>
      <c r="F27" s="9" t="s">
        <v>1836</v>
      </c>
      <c r="G27" s="9" t="s">
        <v>345</v>
      </c>
      <c r="H27" s="9"/>
      <c r="I27" s="9"/>
      <c r="J27" s="17"/>
      <c r="K27" s="17"/>
      <c r="L27" s="18" t="str">
        <f aca="false">IFERROR(J27/K27,"")</f>
        <v/>
      </c>
      <c r="M27" s="9"/>
      <c r="N27" s="9"/>
      <c r="O27" s="9"/>
      <c r="P27" s="13" t="s">
        <v>1837</v>
      </c>
      <c r="Q27" s="13" t="s">
        <v>1838</v>
      </c>
      <c r="R27" s="13" t="s">
        <v>1839</v>
      </c>
      <c r="S27" s="21" t="n">
        <v>18000</v>
      </c>
      <c r="T27" s="21" t="n">
        <v>18000</v>
      </c>
      <c r="U27" s="18" t="n">
        <f aca="false">IFERROR(S27/T27,"")</f>
        <v>1</v>
      </c>
      <c r="V27" s="13" t="s">
        <v>1815</v>
      </c>
      <c r="W27" s="13" t="s">
        <v>1840</v>
      </c>
      <c r="X27" s="10" t="str">
        <f aca="false">INDEX(Missions!$J$2:$J$100,MATCH(B27,Missions!$A$2:$A$100,0))</f>
        <v>$</v>
      </c>
      <c r="Y27" s="14"/>
    </row>
    <row r="28" customFormat="false" ht="55.2" hidden="false" customHeight="false" outlineLevel="0" collapsed="false">
      <c r="A28" s="1" t="s">
        <v>1841</v>
      </c>
      <c r="B28" s="1" t="s">
        <v>87</v>
      </c>
      <c r="C28" s="1" t="s">
        <v>1842</v>
      </c>
      <c r="D28" s="1" t="s">
        <v>1843</v>
      </c>
      <c r="E28" s="1" t="s">
        <v>1844</v>
      </c>
      <c r="F28" s="1" t="s">
        <v>1845</v>
      </c>
      <c r="G28" s="20" t="s">
        <v>160</v>
      </c>
      <c r="H28" s="1" t="n">
        <v>3</v>
      </c>
      <c r="I28" s="1" t="n">
        <v>3</v>
      </c>
      <c r="J28" s="1" t="n">
        <v>0</v>
      </c>
      <c r="L28" s="1" t="str">
        <f aca="false">IFERROR(J28/K28,"")</f>
        <v/>
      </c>
      <c r="M28" s="1" t="s">
        <v>1846</v>
      </c>
      <c r="N28" s="1" t="s">
        <v>1847</v>
      </c>
      <c r="O28" s="1" t="s">
        <v>1848</v>
      </c>
      <c r="P28" s="22" t="s">
        <v>1849</v>
      </c>
      <c r="Q28" s="1" t="s">
        <v>1850</v>
      </c>
      <c r="R28" s="1" t="s">
        <v>1851</v>
      </c>
      <c r="S28" s="1" t="n">
        <v>600</v>
      </c>
      <c r="T28" s="1" t="n">
        <v>8000</v>
      </c>
      <c r="U28" s="1" t="n">
        <f aca="false">IFERROR(S28/T28,"")</f>
        <v>0.075</v>
      </c>
      <c r="V28" s="1" t="s">
        <v>1852</v>
      </c>
      <c r="W28" s="1" t="s">
        <v>1853</v>
      </c>
      <c r="X28" s="1" t="str">
        <f aca="false">INDEX(Missions!$J$2:$J$100,MATCH(B28,Missions!$A$2:$A$100,0))</f>
        <v>$</v>
      </c>
    </row>
    <row r="29" customFormat="false" ht="55.2" hidden="false" customHeight="false" outlineLevel="0" collapsed="false">
      <c r="A29" s="1" t="s">
        <v>1854</v>
      </c>
      <c r="B29" s="1" t="s">
        <v>87</v>
      </c>
      <c r="C29" s="1" t="s">
        <v>1855</v>
      </c>
      <c r="D29" s="1" t="s">
        <v>1856</v>
      </c>
      <c r="E29" s="1" t="s">
        <v>1857</v>
      </c>
      <c r="F29" s="1" t="s">
        <v>1858</v>
      </c>
      <c r="G29" s="20" t="s">
        <v>160</v>
      </c>
      <c r="H29" s="1" t="n">
        <v>2</v>
      </c>
      <c r="I29" s="1" t="n">
        <v>4</v>
      </c>
      <c r="J29" s="1" t="n">
        <v>0</v>
      </c>
      <c r="L29" s="1" t="str">
        <f aca="false">IFERROR(J29/K29,"")</f>
        <v/>
      </c>
      <c r="M29" s="1" t="s">
        <v>1859</v>
      </c>
      <c r="N29" s="1" t="s">
        <v>1860</v>
      </c>
      <c r="O29" s="1" t="s">
        <v>1861</v>
      </c>
      <c r="P29" s="22" t="s">
        <v>1862</v>
      </c>
      <c r="Q29" s="1" t="s">
        <v>1863</v>
      </c>
      <c r="R29" s="1" t="s">
        <v>1864</v>
      </c>
      <c r="S29" s="1" t="n">
        <v>0</v>
      </c>
      <c r="T29" s="1" t="n">
        <v>15000</v>
      </c>
      <c r="U29" s="1" t="n">
        <f aca="false">IFERROR(S29/T29,"")</f>
        <v>0</v>
      </c>
      <c r="V29" s="1" t="s">
        <v>1865</v>
      </c>
      <c r="W29" s="1" t="s">
        <v>1866</v>
      </c>
      <c r="X29" s="1" t="str">
        <f aca="false">INDEX(Missions!$J$2:$J$100,MATCH(B29,Missions!$A$2:$A$100,0))</f>
        <v>$</v>
      </c>
    </row>
    <row r="30" customFormat="false" ht="41.75" hidden="false" customHeight="false" outlineLevel="0" collapsed="false">
      <c r="A30" s="1" t="s">
        <v>1867</v>
      </c>
      <c r="B30" s="1" t="s">
        <v>157</v>
      </c>
      <c r="C30" s="1" t="s">
        <v>1868</v>
      </c>
      <c r="D30" s="1" t="s">
        <v>1869</v>
      </c>
      <c r="E30" s="1" t="s">
        <v>1870</v>
      </c>
      <c r="F30" s="1" t="s">
        <v>1871</v>
      </c>
      <c r="G30" s="20" t="s">
        <v>160</v>
      </c>
      <c r="H30" s="1" t="n">
        <v>2</v>
      </c>
      <c r="I30" s="1" t="n">
        <v>2</v>
      </c>
      <c r="J30" s="1" t="n">
        <v>0</v>
      </c>
      <c r="L30" s="1" t="str">
        <f aca="false">IFERROR(J30/K30,"")</f>
        <v/>
      </c>
      <c r="M30" s="1" t="s">
        <v>1872</v>
      </c>
      <c r="N30" s="1" t="s">
        <v>1873</v>
      </c>
      <c r="O30" s="1" t="s">
        <v>1874</v>
      </c>
      <c r="P30" s="22" t="s">
        <v>1875</v>
      </c>
      <c r="Q30" s="1" t="s">
        <v>1876</v>
      </c>
      <c r="R30" s="1" t="s">
        <v>1877</v>
      </c>
      <c r="S30" s="1" t="n">
        <v>300</v>
      </c>
      <c r="T30" s="1" t="n">
        <v>6000</v>
      </c>
      <c r="U30" s="1" t="n">
        <f aca="false">IFERROR(S30/T30,"")</f>
        <v>0.05</v>
      </c>
      <c r="V30" s="1" t="s">
        <v>1872</v>
      </c>
      <c r="W30" s="1" t="s">
        <v>1878</v>
      </c>
      <c r="X30" s="1" t="str">
        <f aca="false">INDEX(Missions!$J$2:$J$100,MATCH(B30,Missions!$A$2:$A$100,0))</f>
        <v>$</v>
      </c>
    </row>
    <row r="31" customFormat="false" ht="55.2" hidden="false" customHeight="false" outlineLevel="0" collapsed="false">
      <c r="A31" s="1" t="s">
        <v>1879</v>
      </c>
      <c r="B31" s="1" t="s">
        <v>174</v>
      </c>
      <c r="C31" s="1" t="s">
        <v>1880</v>
      </c>
      <c r="D31" s="1" t="s">
        <v>1881</v>
      </c>
      <c r="E31" s="1" t="s">
        <v>1882</v>
      </c>
      <c r="F31" s="1" t="s">
        <v>1883</v>
      </c>
      <c r="G31" s="20" t="s">
        <v>160</v>
      </c>
      <c r="H31" s="1" t="n">
        <v>2</v>
      </c>
      <c r="I31" s="1" t="n">
        <v>2</v>
      </c>
      <c r="J31" s="1" t="n">
        <v>0</v>
      </c>
      <c r="L31" s="1" t="str">
        <f aca="false">IFERROR(J31/K31,"")</f>
        <v/>
      </c>
      <c r="M31" s="1" t="s">
        <v>1884</v>
      </c>
      <c r="N31" s="1" t="s">
        <v>1885</v>
      </c>
      <c r="O31" s="1" t="s">
        <v>1886</v>
      </c>
      <c r="P31" s="22" t="s">
        <v>1887</v>
      </c>
      <c r="Q31" s="1" t="s">
        <v>1888</v>
      </c>
      <c r="R31" s="1" t="s">
        <v>1889</v>
      </c>
      <c r="S31" s="1" t="n">
        <v>0</v>
      </c>
      <c r="T31" s="1" t="n">
        <v>4000</v>
      </c>
      <c r="U31" s="1" t="n">
        <f aca="false">IFERROR(S31/T31,"")</f>
        <v>0</v>
      </c>
      <c r="V31" s="1" t="s">
        <v>1890</v>
      </c>
      <c r="W31" s="1" t="s">
        <v>1891</v>
      </c>
      <c r="X31" s="1" t="str">
        <f aca="false">INDEX(Missions!$J$2:$J$100,MATCH(B31,Missions!$A$2:$A$100,0))</f>
        <v>$</v>
      </c>
    </row>
    <row r="32" customFormat="false" ht="41.75" hidden="false" customHeight="false" outlineLevel="0" collapsed="false">
      <c r="A32" s="1" t="s">
        <v>1892</v>
      </c>
      <c r="B32" s="1" t="s">
        <v>210</v>
      </c>
      <c r="C32" s="1" t="s">
        <v>1893</v>
      </c>
      <c r="D32" s="1" t="s">
        <v>1894</v>
      </c>
      <c r="E32" s="1" t="s">
        <v>1895</v>
      </c>
      <c r="F32" s="1" t="s">
        <v>1896</v>
      </c>
      <c r="G32" s="20" t="s">
        <v>160</v>
      </c>
      <c r="H32" s="1" t="n">
        <v>2</v>
      </c>
      <c r="I32" s="1" t="n">
        <v>1</v>
      </c>
      <c r="J32" s="1" t="n">
        <v>0</v>
      </c>
      <c r="L32" s="1" t="str">
        <f aca="false">IFERROR(J32/K32,"")</f>
        <v/>
      </c>
      <c r="M32" s="1" t="s">
        <v>1897</v>
      </c>
      <c r="N32" s="1" t="s">
        <v>1898</v>
      </c>
      <c r="O32" s="1" t="s">
        <v>1899</v>
      </c>
      <c r="P32" s="22" t="s">
        <v>1900</v>
      </c>
      <c r="Q32" s="1" t="s">
        <v>1901</v>
      </c>
      <c r="R32" s="1" t="s">
        <v>1902</v>
      </c>
      <c r="S32" s="1" t="n">
        <v>0</v>
      </c>
      <c r="T32" s="1" t="n">
        <v>50000</v>
      </c>
      <c r="U32" s="1" t="n">
        <f aca="false">IFERROR(S32/T32,"")</f>
        <v>0</v>
      </c>
      <c r="V32" s="1" t="s">
        <v>1903</v>
      </c>
      <c r="W32" s="1" t="s">
        <v>1904</v>
      </c>
      <c r="X32" s="1" t="str">
        <f aca="false">INDEX(Missions!$J$2:$J$100,MATCH(B32,Missions!$A$2:$A$100,0))</f>
        <v>₹</v>
      </c>
    </row>
    <row r="33" customFormat="false" ht="41.75" hidden="false" customHeight="false" outlineLevel="0" collapsed="false">
      <c r="A33" s="1" t="s">
        <v>1905</v>
      </c>
      <c r="B33" s="1" t="s">
        <v>227</v>
      </c>
      <c r="C33" s="1" t="s">
        <v>1906</v>
      </c>
      <c r="D33" s="1" t="s">
        <v>1907</v>
      </c>
      <c r="E33" s="1" t="s">
        <v>1908</v>
      </c>
      <c r="F33" s="1" t="s">
        <v>1909</v>
      </c>
      <c r="G33" s="20" t="s">
        <v>160</v>
      </c>
      <c r="H33" s="1" t="n">
        <v>3</v>
      </c>
      <c r="I33" s="1" t="n">
        <v>2</v>
      </c>
      <c r="J33" s="1" t="n">
        <v>0</v>
      </c>
      <c r="L33" s="1" t="str">
        <f aca="false">IFERROR(J33/K33,"")</f>
        <v/>
      </c>
      <c r="M33" s="1" t="s">
        <v>1884</v>
      </c>
      <c r="N33" s="1" t="s">
        <v>1910</v>
      </c>
      <c r="O33" s="1" t="s">
        <v>1911</v>
      </c>
      <c r="P33" s="22" t="s">
        <v>1912</v>
      </c>
      <c r="Q33" s="1" t="s">
        <v>1913</v>
      </c>
      <c r="R33" s="1" t="s">
        <v>1914</v>
      </c>
      <c r="S33" s="1" t="n">
        <v>0</v>
      </c>
      <c r="T33" s="1" t="n">
        <v>120000</v>
      </c>
      <c r="U33" s="1" t="n">
        <f aca="false">IFERROR(S33/T33,"")</f>
        <v>0</v>
      </c>
      <c r="V33" s="1" t="s">
        <v>1915</v>
      </c>
      <c r="W33" s="1" t="s">
        <v>1916</v>
      </c>
      <c r="X33" s="1" t="str">
        <f aca="false">INDEX(Missions!$J$2:$J$100,MATCH(B33,Missions!$A$2:$A$100,0))</f>
        <v>₹</v>
      </c>
    </row>
    <row r="34" customFormat="false" ht="41.75" hidden="false" customHeight="false" outlineLevel="0" collapsed="false">
      <c r="A34" s="1" t="s">
        <v>1917</v>
      </c>
      <c r="B34" s="1" t="s">
        <v>244</v>
      </c>
      <c r="C34" s="1" t="s">
        <v>1918</v>
      </c>
      <c r="D34" s="1" t="s">
        <v>1919</v>
      </c>
      <c r="E34" s="1" t="s">
        <v>1920</v>
      </c>
      <c r="F34" s="1" t="s">
        <v>1921</v>
      </c>
      <c r="G34" s="20" t="s">
        <v>160</v>
      </c>
      <c r="H34" s="1" t="n">
        <v>2</v>
      </c>
      <c r="I34" s="1" t="n">
        <v>1</v>
      </c>
      <c r="J34" s="1" t="n">
        <v>0</v>
      </c>
      <c r="L34" s="1" t="str">
        <f aca="false">IFERROR(J34/K34,"")</f>
        <v/>
      </c>
      <c r="M34" s="1" t="s">
        <v>1922</v>
      </c>
      <c r="N34" s="1" t="s">
        <v>1923</v>
      </c>
      <c r="O34" s="1" t="s">
        <v>1924</v>
      </c>
      <c r="P34" s="22" t="s">
        <v>1925</v>
      </c>
      <c r="Q34" s="1" t="s">
        <v>1926</v>
      </c>
      <c r="R34" s="1" t="s">
        <v>1927</v>
      </c>
      <c r="S34" s="1" t="n">
        <v>0</v>
      </c>
      <c r="T34" s="1" t="n">
        <v>40000</v>
      </c>
      <c r="U34" s="1" t="n">
        <f aca="false">IFERROR(S34/T34,"")</f>
        <v>0</v>
      </c>
      <c r="V34" s="1" t="s">
        <v>1928</v>
      </c>
      <c r="W34" s="1" t="s">
        <v>1929</v>
      </c>
      <c r="X34" s="1" t="str">
        <f aca="false">INDEX(Missions!$J$2:$J$100,MATCH(B34,Missions!$A$2:$A$100,0))</f>
        <v>₹</v>
      </c>
    </row>
    <row r="35" customFormat="false" ht="41.75" hidden="false" customHeight="false" outlineLevel="0" collapsed="false">
      <c r="A35" s="1" t="s">
        <v>1930</v>
      </c>
      <c r="B35" s="1" t="s">
        <v>260</v>
      </c>
      <c r="C35" s="1" t="s">
        <v>1931</v>
      </c>
      <c r="D35" s="1" t="s">
        <v>1932</v>
      </c>
      <c r="E35" s="1" t="s">
        <v>1933</v>
      </c>
      <c r="F35" s="1" t="s">
        <v>1934</v>
      </c>
      <c r="G35" s="20" t="s">
        <v>160</v>
      </c>
      <c r="H35" s="1" t="n">
        <v>2</v>
      </c>
      <c r="I35" s="1" t="n">
        <v>1</v>
      </c>
      <c r="J35" s="1" t="n">
        <v>0</v>
      </c>
      <c r="L35" s="1" t="str">
        <f aca="false">IFERROR(J35/K35,"")</f>
        <v/>
      </c>
      <c r="M35" s="1" t="s">
        <v>1935</v>
      </c>
      <c r="N35" s="1" t="s">
        <v>1936</v>
      </c>
      <c r="O35" s="1" t="s">
        <v>1937</v>
      </c>
      <c r="P35" s="22" t="s">
        <v>1938</v>
      </c>
      <c r="Q35" s="1" t="s">
        <v>1939</v>
      </c>
      <c r="R35" s="1" t="s">
        <v>1940</v>
      </c>
      <c r="S35" s="1" t="n">
        <v>0</v>
      </c>
      <c r="T35" s="1" t="n">
        <v>6000</v>
      </c>
      <c r="U35" s="1" t="n">
        <f aca="false">IFERROR(S35/T35,"")</f>
        <v>0</v>
      </c>
      <c r="V35" s="1" t="s">
        <v>1941</v>
      </c>
      <c r="W35" s="1" t="s">
        <v>1942</v>
      </c>
      <c r="X35" s="1" t="str">
        <f aca="false">INDEX(Missions!$J$2:$J$100,MATCH(B35,Missions!$A$2:$A$100,0))</f>
        <v>$</v>
      </c>
    </row>
    <row r="36" customFormat="false" ht="55.2" hidden="false" customHeight="false" outlineLevel="0" collapsed="false">
      <c r="A36" s="1" t="s">
        <v>1943</v>
      </c>
      <c r="B36" s="1" t="s">
        <v>277</v>
      </c>
      <c r="C36" s="1" t="s">
        <v>1944</v>
      </c>
      <c r="D36" s="1" t="s">
        <v>1945</v>
      </c>
      <c r="E36" s="1" t="s">
        <v>1946</v>
      </c>
      <c r="F36" s="1" t="s">
        <v>1947</v>
      </c>
      <c r="G36" s="20" t="s">
        <v>160</v>
      </c>
      <c r="H36" s="1" t="n">
        <v>2</v>
      </c>
      <c r="I36" s="1" t="n">
        <v>1</v>
      </c>
      <c r="J36" s="1" t="n">
        <v>0</v>
      </c>
      <c r="L36" s="1" t="str">
        <f aca="false">IFERROR(J36/K36,"")</f>
        <v/>
      </c>
      <c r="M36" s="1" t="s">
        <v>1948</v>
      </c>
      <c r="N36" s="1" t="s">
        <v>1949</v>
      </c>
      <c r="O36" s="1" t="s">
        <v>1950</v>
      </c>
      <c r="P36" s="22" t="s">
        <v>1951</v>
      </c>
      <c r="Q36" s="1" t="s">
        <v>1952</v>
      </c>
      <c r="R36" s="1" t="s">
        <v>1953</v>
      </c>
      <c r="S36" s="1" t="n">
        <v>0</v>
      </c>
      <c r="T36" s="1" t="n">
        <v>5000</v>
      </c>
      <c r="U36" s="1" t="n">
        <f aca="false">IFERROR(S36/T36,"")</f>
        <v>0</v>
      </c>
      <c r="V36" s="1" t="s">
        <v>1954</v>
      </c>
      <c r="W36" s="1" t="s">
        <v>1955</v>
      </c>
      <c r="X36" s="1" t="str">
        <f aca="false">INDEX(Missions!$J$2:$J$100,MATCH(B36,Missions!$A$2:$A$100,0))</f>
        <v>$</v>
      </c>
    </row>
    <row r="37" customFormat="false" ht="15" hidden="false" customHeight="false" outlineLevel="0" collapsed="false">
      <c r="G37" s="20"/>
    </row>
    <row r="38" customFormat="false" ht="15" hidden="false" customHeight="false" outlineLevel="0" collapsed="false">
      <c r="G38" s="20"/>
    </row>
    <row r="39" customFormat="false" ht="15" hidden="false" customHeight="false" outlineLevel="0" collapsed="false">
      <c r="G39" s="20"/>
    </row>
    <row r="40" customFormat="false" ht="15" hidden="false" customHeight="false" outlineLevel="0" collapsed="false">
      <c r="G40" s="20"/>
    </row>
    <row r="41" customFormat="false" ht="15" hidden="false" customHeight="false" outlineLevel="0" collapsed="false">
      <c r="G41" s="20"/>
    </row>
    <row r="42" customFormat="false" ht="15" hidden="false" customHeight="false" outlineLevel="0" collapsed="false">
      <c r="G42" s="20"/>
    </row>
    <row r="43" customFormat="false" ht="15" hidden="false" customHeight="false" outlineLevel="0" collapsed="false">
      <c r="G43" s="20"/>
    </row>
    <row r="44" customFormat="false" ht="15" hidden="false" customHeight="false" outlineLevel="0" collapsed="false">
      <c r="G44" s="20"/>
    </row>
    <row r="45" customFormat="false" ht="15" hidden="false" customHeight="false" outlineLevel="0" collapsed="false">
      <c r="G45" s="20"/>
    </row>
    <row r="46" customFormat="false" ht="15" hidden="false" customHeight="false" outlineLevel="0" collapsed="false">
      <c r="G46" s="20"/>
    </row>
    <row r="47" customFormat="false" ht="15" hidden="false" customHeight="false" outlineLevel="0" collapsed="false">
      <c r="G47" s="20"/>
    </row>
    <row r="48" customFormat="false" ht="15" hidden="false" customHeight="false" outlineLevel="0" collapsed="false">
      <c r="G48" s="20"/>
    </row>
    <row r="49" customFormat="false" ht="15" hidden="false" customHeight="false" outlineLevel="0" collapsed="false">
      <c r="G49" s="20"/>
    </row>
    <row r="50" customFormat="false" ht="15" hidden="false" customHeight="false" outlineLevel="0" collapsed="false">
      <c r="G50" s="20"/>
    </row>
    <row r="51" customFormat="false" ht="15" hidden="false" customHeight="false" outlineLevel="0" collapsed="false">
      <c r="G51" s="20"/>
    </row>
    <row r="52" customFormat="false" ht="15" hidden="false" customHeight="false" outlineLevel="0" collapsed="false">
      <c r="G52" s="20"/>
    </row>
    <row r="53" customFormat="false" ht="15" hidden="false" customHeight="false" outlineLevel="0" collapsed="false">
      <c r="G53" s="20"/>
    </row>
    <row r="54" customFormat="false" ht="15" hidden="false" customHeight="false" outlineLevel="0" collapsed="false">
      <c r="G54" s="20"/>
    </row>
    <row r="55" customFormat="false" ht="15" hidden="false" customHeight="false" outlineLevel="0" collapsed="false">
      <c r="G55" s="20"/>
    </row>
    <row r="56" customFormat="false" ht="15" hidden="false" customHeight="false" outlineLevel="0" collapsed="false">
      <c r="G56" s="20"/>
    </row>
    <row r="57" customFormat="false" ht="15" hidden="false" customHeight="false" outlineLevel="0" collapsed="false">
      <c r="G57" s="20"/>
    </row>
    <row r="58" customFormat="false" ht="15" hidden="false" customHeight="false" outlineLevel="0" collapsed="false">
      <c r="G58" s="20"/>
    </row>
    <row r="59" customFormat="false" ht="15" hidden="false" customHeight="false" outlineLevel="0" collapsed="false">
      <c r="G59" s="20"/>
    </row>
    <row r="60" customFormat="false" ht="15" hidden="false" customHeight="false" outlineLevel="0" collapsed="false">
      <c r="G60" s="20"/>
    </row>
    <row r="61" customFormat="false" ht="15" hidden="false" customHeight="false" outlineLevel="0" collapsed="false">
      <c r="G61" s="20"/>
    </row>
    <row r="62" customFormat="false" ht="15" hidden="false" customHeight="false" outlineLevel="0" collapsed="false">
      <c r="G62" s="20"/>
    </row>
    <row r="63" customFormat="false" ht="15" hidden="false" customHeight="false" outlineLevel="0" collapsed="false">
      <c r="G63" s="20"/>
    </row>
    <row r="64" customFormat="false" ht="15" hidden="false" customHeight="false" outlineLevel="0" collapsed="false">
      <c r="G64" s="20"/>
    </row>
    <row r="65" customFormat="false" ht="15" hidden="false" customHeight="false" outlineLevel="0" collapsed="false">
      <c r="G65" s="20"/>
    </row>
    <row r="66" customFormat="false" ht="15" hidden="false" customHeight="false" outlineLevel="0" collapsed="false">
      <c r="G66" s="20"/>
    </row>
    <row r="67" customFormat="false" ht="15" hidden="false" customHeight="false" outlineLevel="0" collapsed="false">
      <c r="G67" s="20"/>
    </row>
    <row r="68" customFormat="false" ht="15" hidden="false" customHeight="false" outlineLevel="0" collapsed="false">
      <c r="G68" s="20"/>
    </row>
    <row r="69" customFormat="false" ht="15" hidden="false" customHeight="false" outlineLevel="0" collapsed="false">
      <c r="G69" s="20"/>
    </row>
    <row r="70" customFormat="false" ht="15" hidden="false" customHeight="false" outlineLevel="0" collapsed="false">
      <c r="G70" s="20"/>
    </row>
    <row r="71" customFormat="false" ht="15" hidden="false" customHeight="false" outlineLevel="0" collapsed="false">
      <c r="G71" s="20"/>
    </row>
    <row r="72" customFormat="false" ht="15" hidden="false" customHeight="false" outlineLevel="0" collapsed="false">
      <c r="G72" s="20"/>
    </row>
    <row r="73" customFormat="false" ht="15" hidden="false" customHeight="false" outlineLevel="0" collapsed="false">
      <c r="G73" s="20"/>
    </row>
    <row r="74" customFormat="false" ht="15" hidden="false" customHeight="false" outlineLevel="0" collapsed="false">
      <c r="G74" s="20"/>
    </row>
    <row r="75" customFormat="false" ht="15" hidden="false" customHeight="false" outlineLevel="0" collapsed="false">
      <c r="G75" s="20"/>
    </row>
    <row r="76" customFormat="false" ht="15" hidden="false" customHeight="false" outlineLevel="0" collapsed="false">
      <c r="G76" s="20"/>
    </row>
    <row r="77" customFormat="false" ht="15" hidden="false" customHeight="false" outlineLevel="0" collapsed="false">
      <c r="G77" s="20"/>
    </row>
    <row r="78" customFormat="false" ht="15" hidden="false" customHeight="false" outlineLevel="0" collapsed="false">
      <c r="G78" s="20"/>
    </row>
    <row r="79" customFormat="false" ht="15" hidden="false" customHeight="false" outlineLevel="0" collapsed="false">
      <c r="G79" s="20"/>
    </row>
    <row r="80" customFormat="false" ht="15" hidden="false" customHeight="false" outlineLevel="0" collapsed="false">
      <c r="G80" s="20"/>
    </row>
    <row r="81" customFormat="false" ht="15" hidden="false" customHeight="false" outlineLevel="0" collapsed="false">
      <c r="G81" s="20"/>
    </row>
    <row r="82" customFormat="false" ht="15" hidden="false" customHeight="false" outlineLevel="0" collapsed="false">
      <c r="G82" s="20"/>
    </row>
    <row r="83" customFormat="false" ht="15" hidden="false" customHeight="false" outlineLevel="0" collapsed="false">
      <c r="G83" s="20"/>
    </row>
    <row r="84" customFormat="false" ht="15" hidden="false" customHeight="false" outlineLevel="0" collapsed="false">
      <c r="G84" s="20"/>
    </row>
    <row r="85" customFormat="false" ht="15" hidden="false" customHeight="false" outlineLevel="0" collapsed="false">
      <c r="G85" s="20"/>
    </row>
    <row r="86" customFormat="false" ht="15" hidden="false" customHeight="false" outlineLevel="0" collapsed="false">
      <c r="G86" s="20"/>
    </row>
    <row r="87" customFormat="false" ht="15" hidden="false" customHeight="false" outlineLevel="0" collapsed="false">
      <c r="G87" s="20"/>
    </row>
    <row r="88" customFormat="false" ht="15" hidden="false" customHeight="false" outlineLevel="0" collapsed="false">
      <c r="G88" s="20"/>
    </row>
    <row r="89" customFormat="false" ht="15" hidden="false" customHeight="false" outlineLevel="0" collapsed="false">
      <c r="G89" s="20"/>
    </row>
    <row r="90" customFormat="false" ht="15" hidden="false" customHeight="false" outlineLevel="0" collapsed="false">
      <c r="G90" s="20"/>
    </row>
    <row r="91" customFormat="false" ht="15" hidden="false" customHeight="false" outlineLevel="0" collapsed="false">
      <c r="G91" s="20"/>
    </row>
    <row r="92" customFormat="false" ht="15" hidden="false" customHeight="false" outlineLevel="0" collapsed="false">
      <c r="G92" s="20"/>
    </row>
    <row r="93" customFormat="false" ht="15" hidden="false" customHeight="false" outlineLevel="0" collapsed="false">
      <c r="G93" s="20"/>
    </row>
    <row r="94" customFormat="false" ht="15" hidden="false" customHeight="false" outlineLevel="0" collapsed="false">
      <c r="G94" s="20"/>
    </row>
    <row r="95" customFormat="false" ht="15" hidden="false" customHeight="false" outlineLevel="0" collapsed="false">
      <c r="G95" s="20"/>
    </row>
    <row r="96" customFormat="false" ht="15" hidden="false" customHeight="false" outlineLevel="0" collapsed="false">
      <c r="G96" s="20"/>
    </row>
    <row r="97" customFormat="false" ht="15" hidden="false" customHeight="false" outlineLevel="0" collapsed="false">
      <c r="G97" s="20"/>
    </row>
    <row r="98" customFormat="false" ht="15" hidden="false" customHeight="false" outlineLevel="0" collapsed="false">
      <c r="G98" s="20"/>
    </row>
    <row r="99" customFormat="false" ht="15" hidden="false" customHeight="false" outlineLevel="0" collapsed="false">
      <c r="G99" s="20"/>
    </row>
    <row r="100" customFormat="false" ht="15" hidden="false" customHeight="false" outlineLevel="0" collapsed="false">
      <c r="G100" s="20"/>
    </row>
    <row r="101" customFormat="false" ht="15" hidden="false" customHeight="false" outlineLevel="0" collapsed="false">
      <c r="G101" s="20"/>
    </row>
    <row r="102" customFormat="false" ht="15" hidden="false" customHeight="false" outlineLevel="0" collapsed="false">
      <c r="G102" s="20"/>
    </row>
    <row r="103" customFormat="false" ht="15" hidden="false" customHeight="false" outlineLevel="0" collapsed="false">
      <c r="G103" s="20"/>
    </row>
    <row r="104" customFormat="false" ht="15" hidden="false" customHeight="false" outlineLevel="0" collapsed="false">
      <c r="G104" s="20"/>
    </row>
    <row r="105" customFormat="false" ht="15" hidden="false" customHeight="false" outlineLevel="0" collapsed="false">
      <c r="G105" s="20"/>
    </row>
    <row r="106" customFormat="false" ht="15" hidden="false" customHeight="false" outlineLevel="0" collapsed="false">
      <c r="G106" s="20"/>
    </row>
    <row r="107" customFormat="false" ht="15" hidden="false" customHeight="false" outlineLevel="0" collapsed="false">
      <c r="G107" s="20"/>
    </row>
    <row r="108" customFormat="false" ht="15" hidden="false" customHeight="false" outlineLevel="0" collapsed="false">
      <c r="G108" s="20"/>
    </row>
    <row r="109" customFormat="false" ht="15" hidden="false" customHeight="false" outlineLevel="0" collapsed="false">
      <c r="G109" s="20"/>
    </row>
    <row r="110" customFormat="false" ht="15" hidden="false" customHeight="false" outlineLevel="0" collapsed="false">
      <c r="G110" s="20"/>
    </row>
    <row r="111" customFormat="false" ht="15" hidden="false" customHeight="false" outlineLevel="0" collapsed="false">
      <c r="G111" s="20"/>
    </row>
    <row r="112" customFormat="false" ht="15" hidden="false" customHeight="false" outlineLevel="0" collapsed="false">
      <c r="G112" s="20"/>
    </row>
    <row r="113" customFormat="false" ht="15" hidden="false" customHeight="false" outlineLevel="0" collapsed="false">
      <c r="G113" s="20"/>
    </row>
    <row r="114" customFormat="false" ht="15" hidden="false" customHeight="false" outlineLevel="0" collapsed="false">
      <c r="G114" s="20"/>
    </row>
    <row r="115" customFormat="false" ht="15" hidden="false" customHeight="false" outlineLevel="0" collapsed="false">
      <c r="G115" s="20"/>
    </row>
    <row r="116" customFormat="false" ht="15" hidden="false" customHeight="false" outlineLevel="0" collapsed="false">
      <c r="G116" s="20"/>
    </row>
    <row r="117" customFormat="false" ht="15" hidden="false" customHeight="false" outlineLevel="0" collapsed="false">
      <c r="G117" s="20"/>
    </row>
    <row r="118" customFormat="false" ht="15" hidden="false" customHeight="false" outlineLevel="0" collapsed="false">
      <c r="G118" s="20"/>
    </row>
    <row r="119" customFormat="false" ht="15" hidden="false" customHeight="false" outlineLevel="0" collapsed="false">
      <c r="G119" s="20"/>
    </row>
    <row r="120" customFormat="false" ht="15" hidden="false" customHeight="false" outlineLevel="0" collapsed="false">
      <c r="G120" s="20"/>
    </row>
    <row r="121" customFormat="false" ht="15" hidden="false" customHeight="false" outlineLevel="0" collapsed="false">
      <c r="G121" s="20"/>
    </row>
    <row r="122" customFormat="false" ht="15" hidden="false" customHeight="false" outlineLevel="0" collapsed="false">
      <c r="G122" s="20"/>
    </row>
    <row r="123" customFormat="false" ht="15" hidden="false" customHeight="false" outlineLevel="0" collapsed="false">
      <c r="G123" s="20"/>
    </row>
    <row r="124" customFormat="false" ht="15" hidden="false" customHeight="false" outlineLevel="0" collapsed="false">
      <c r="G124" s="20"/>
    </row>
    <row r="125" customFormat="false" ht="15" hidden="false" customHeight="false" outlineLevel="0" collapsed="false">
      <c r="G125" s="20"/>
    </row>
    <row r="126" customFormat="false" ht="15" hidden="false" customHeight="false" outlineLevel="0" collapsed="false">
      <c r="G126" s="20"/>
    </row>
    <row r="127" customFormat="false" ht="15" hidden="false" customHeight="false" outlineLevel="0" collapsed="false">
      <c r="G127" s="20"/>
    </row>
    <row r="128" customFormat="false" ht="15" hidden="false" customHeight="false" outlineLevel="0" collapsed="false">
      <c r="G128" s="20"/>
    </row>
    <row r="129" customFormat="false" ht="15" hidden="false" customHeight="false" outlineLevel="0" collapsed="false">
      <c r="G129" s="20"/>
    </row>
    <row r="130" customFormat="false" ht="15" hidden="false" customHeight="false" outlineLevel="0" collapsed="false">
      <c r="G130" s="20"/>
    </row>
    <row r="131" customFormat="false" ht="15" hidden="false" customHeight="false" outlineLevel="0" collapsed="false">
      <c r="G131" s="20"/>
    </row>
    <row r="132" customFormat="false" ht="15" hidden="false" customHeight="false" outlineLevel="0" collapsed="false">
      <c r="G132" s="20"/>
    </row>
    <row r="133" customFormat="false" ht="15" hidden="false" customHeight="false" outlineLevel="0" collapsed="false">
      <c r="G133" s="20"/>
    </row>
    <row r="134" customFormat="false" ht="15" hidden="false" customHeight="false" outlineLevel="0" collapsed="false">
      <c r="G134" s="20"/>
    </row>
    <row r="135" customFormat="false" ht="15" hidden="false" customHeight="false" outlineLevel="0" collapsed="false">
      <c r="G135" s="20"/>
    </row>
    <row r="136" customFormat="false" ht="15" hidden="false" customHeight="false" outlineLevel="0" collapsed="false">
      <c r="G136" s="20"/>
    </row>
    <row r="137" customFormat="false" ht="15" hidden="false" customHeight="false" outlineLevel="0" collapsed="false">
      <c r="G137" s="20"/>
    </row>
    <row r="138" customFormat="false" ht="15" hidden="false" customHeight="false" outlineLevel="0" collapsed="false">
      <c r="G138" s="20"/>
    </row>
    <row r="139" customFormat="false" ht="15" hidden="false" customHeight="false" outlineLevel="0" collapsed="false">
      <c r="G139" s="20"/>
    </row>
    <row r="140" customFormat="false" ht="15" hidden="false" customHeight="false" outlineLevel="0" collapsed="false">
      <c r="G140" s="20"/>
    </row>
    <row r="141" customFormat="false" ht="15" hidden="false" customHeight="false" outlineLevel="0" collapsed="false">
      <c r="G141" s="20"/>
    </row>
    <row r="142" customFormat="false" ht="15" hidden="false" customHeight="false" outlineLevel="0" collapsed="false">
      <c r="G142" s="20"/>
    </row>
    <row r="143" customFormat="false" ht="15" hidden="false" customHeight="false" outlineLevel="0" collapsed="false">
      <c r="G143" s="20"/>
    </row>
    <row r="144" customFormat="false" ht="15" hidden="false" customHeight="false" outlineLevel="0" collapsed="false">
      <c r="G144" s="20"/>
    </row>
    <row r="145" customFormat="false" ht="15" hidden="false" customHeight="false" outlineLevel="0" collapsed="false">
      <c r="G145" s="20"/>
    </row>
    <row r="146" customFormat="false" ht="15" hidden="false" customHeight="false" outlineLevel="0" collapsed="false">
      <c r="G146" s="20"/>
    </row>
    <row r="147" customFormat="false" ht="15" hidden="false" customHeight="false" outlineLevel="0" collapsed="false">
      <c r="G147" s="20"/>
    </row>
    <row r="148" customFormat="false" ht="15" hidden="false" customHeight="false" outlineLevel="0" collapsed="false">
      <c r="G148" s="20"/>
    </row>
    <row r="149" customFormat="false" ht="15" hidden="false" customHeight="false" outlineLevel="0" collapsed="false">
      <c r="G149" s="20"/>
    </row>
    <row r="150" customFormat="false" ht="15" hidden="false" customHeight="false" outlineLevel="0" collapsed="false">
      <c r="G150" s="20"/>
    </row>
    <row r="151" customFormat="false" ht="15" hidden="false" customHeight="false" outlineLevel="0" collapsed="false">
      <c r="G151" s="20"/>
    </row>
    <row r="152" customFormat="false" ht="15" hidden="false" customHeight="false" outlineLevel="0" collapsed="false">
      <c r="G152" s="20"/>
    </row>
    <row r="153" customFormat="false" ht="15" hidden="false" customHeight="false" outlineLevel="0" collapsed="false">
      <c r="G153" s="20"/>
    </row>
    <row r="154" customFormat="false" ht="15" hidden="false" customHeight="false" outlineLevel="0" collapsed="false">
      <c r="G154" s="20"/>
    </row>
    <row r="155" customFormat="false" ht="15" hidden="false" customHeight="false" outlineLevel="0" collapsed="false">
      <c r="G155" s="20"/>
    </row>
    <row r="156" customFormat="false" ht="15" hidden="false" customHeight="false" outlineLevel="0" collapsed="false">
      <c r="G156" s="20"/>
    </row>
    <row r="157" customFormat="false" ht="15" hidden="false" customHeight="false" outlineLevel="0" collapsed="false">
      <c r="G157" s="20"/>
    </row>
    <row r="158" customFormat="false" ht="15" hidden="false" customHeight="false" outlineLevel="0" collapsed="false">
      <c r="G158" s="20"/>
    </row>
    <row r="159" customFormat="false" ht="15" hidden="false" customHeight="false" outlineLevel="0" collapsed="false">
      <c r="G159" s="20"/>
    </row>
    <row r="160" customFormat="false" ht="15" hidden="false" customHeight="false" outlineLevel="0" collapsed="false">
      <c r="G160" s="20"/>
    </row>
    <row r="161" customFormat="false" ht="15" hidden="false" customHeight="false" outlineLevel="0" collapsed="false">
      <c r="G161" s="20"/>
    </row>
    <row r="162" customFormat="false" ht="15" hidden="false" customHeight="false" outlineLevel="0" collapsed="false">
      <c r="G162" s="20"/>
    </row>
    <row r="163" customFormat="false" ht="15" hidden="false" customHeight="false" outlineLevel="0" collapsed="false">
      <c r="G163" s="20"/>
    </row>
    <row r="164" customFormat="false" ht="15" hidden="false" customHeight="false" outlineLevel="0" collapsed="false">
      <c r="G164" s="20"/>
    </row>
    <row r="165" customFormat="false" ht="15" hidden="false" customHeight="false" outlineLevel="0" collapsed="false">
      <c r="G165" s="20"/>
    </row>
    <row r="166" customFormat="false" ht="15" hidden="false" customHeight="false" outlineLevel="0" collapsed="false">
      <c r="G166" s="20"/>
    </row>
    <row r="167" customFormat="false" ht="15" hidden="false" customHeight="false" outlineLevel="0" collapsed="false">
      <c r="G167" s="20"/>
    </row>
    <row r="168" customFormat="false" ht="15" hidden="false" customHeight="false" outlineLevel="0" collapsed="false">
      <c r="G168" s="20"/>
    </row>
    <row r="169" customFormat="false" ht="15" hidden="false" customHeight="false" outlineLevel="0" collapsed="false">
      <c r="G169" s="20"/>
    </row>
    <row r="170" customFormat="false" ht="15" hidden="false" customHeight="false" outlineLevel="0" collapsed="false">
      <c r="G170" s="20"/>
    </row>
    <row r="171" customFormat="false" ht="15" hidden="false" customHeight="false" outlineLevel="0" collapsed="false">
      <c r="G171" s="20"/>
    </row>
    <row r="172" customFormat="false" ht="15" hidden="false" customHeight="false" outlineLevel="0" collapsed="false">
      <c r="G172" s="20"/>
    </row>
    <row r="173" customFormat="false" ht="15" hidden="false" customHeight="false" outlineLevel="0" collapsed="false">
      <c r="G173" s="20"/>
    </row>
    <row r="174" customFormat="false" ht="15" hidden="false" customHeight="false" outlineLevel="0" collapsed="false">
      <c r="G174" s="20"/>
    </row>
    <row r="175" customFormat="false" ht="15" hidden="false" customHeight="false" outlineLevel="0" collapsed="false">
      <c r="G175" s="20"/>
    </row>
    <row r="176" customFormat="false" ht="15" hidden="false" customHeight="false" outlineLevel="0" collapsed="false">
      <c r="G176" s="20"/>
    </row>
    <row r="177" customFormat="false" ht="15" hidden="false" customHeight="false" outlineLevel="0" collapsed="false">
      <c r="G177" s="20"/>
    </row>
    <row r="178" customFormat="false" ht="15" hidden="false" customHeight="false" outlineLevel="0" collapsed="false">
      <c r="G178" s="20"/>
    </row>
    <row r="179" customFormat="false" ht="15" hidden="false" customHeight="false" outlineLevel="0" collapsed="false">
      <c r="G179" s="20"/>
    </row>
    <row r="180" customFormat="false" ht="15" hidden="false" customHeight="false" outlineLevel="0" collapsed="false">
      <c r="G180" s="20"/>
    </row>
    <row r="181" customFormat="false" ht="15" hidden="false" customHeight="false" outlineLevel="0" collapsed="false">
      <c r="G181" s="20"/>
    </row>
    <row r="182" customFormat="false" ht="15" hidden="false" customHeight="false" outlineLevel="0" collapsed="false">
      <c r="G182" s="20"/>
    </row>
    <row r="183" customFormat="false" ht="15" hidden="false" customHeight="false" outlineLevel="0" collapsed="false">
      <c r="G183" s="20"/>
    </row>
    <row r="184" customFormat="false" ht="15" hidden="false" customHeight="false" outlineLevel="0" collapsed="false">
      <c r="G184" s="20"/>
    </row>
    <row r="185" customFormat="false" ht="15" hidden="false" customHeight="false" outlineLevel="0" collapsed="false">
      <c r="G185" s="20"/>
    </row>
    <row r="186" customFormat="false" ht="15" hidden="false" customHeight="false" outlineLevel="0" collapsed="false">
      <c r="G186" s="20"/>
    </row>
    <row r="187" customFormat="false" ht="15" hidden="false" customHeight="false" outlineLevel="0" collapsed="false">
      <c r="G187" s="20"/>
    </row>
    <row r="188" customFormat="false" ht="15" hidden="false" customHeight="false" outlineLevel="0" collapsed="false">
      <c r="G188" s="20"/>
    </row>
    <row r="189" customFormat="false" ht="15" hidden="false" customHeight="false" outlineLevel="0" collapsed="false">
      <c r="G189" s="20"/>
    </row>
    <row r="190" customFormat="false" ht="15" hidden="false" customHeight="false" outlineLevel="0" collapsed="false">
      <c r="G190" s="20"/>
    </row>
    <row r="191" customFormat="false" ht="15" hidden="false" customHeight="false" outlineLevel="0" collapsed="false">
      <c r="G191" s="20"/>
    </row>
    <row r="192" customFormat="false" ht="15" hidden="false" customHeight="false" outlineLevel="0" collapsed="false">
      <c r="G192" s="20"/>
    </row>
    <row r="193" customFormat="false" ht="15" hidden="false" customHeight="false" outlineLevel="0" collapsed="false">
      <c r="G193" s="20"/>
    </row>
    <row r="194" customFormat="false" ht="15" hidden="false" customHeight="false" outlineLevel="0" collapsed="false">
      <c r="G194" s="20"/>
    </row>
    <row r="195" customFormat="false" ht="15" hidden="false" customHeight="false" outlineLevel="0" collapsed="false">
      <c r="G195" s="20"/>
    </row>
    <row r="196" customFormat="false" ht="15" hidden="false" customHeight="false" outlineLevel="0" collapsed="false">
      <c r="G196" s="20"/>
    </row>
    <row r="197" customFormat="false" ht="15" hidden="false" customHeight="false" outlineLevel="0" collapsed="false">
      <c r="G197" s="20"/>
    </row>
    <row r="198" customFormat="false" ht="15" hidden="false" customHeight="false" outlineLevel="0" collapsed="false">
      <c r="G198" s="20"/>
    </row>
    <row r="199" customFormat="false" ht="15" hidden="false" customHeight="false" outlineLevel="0" collapsed="false">
      <c r="G199" s="20"/>
    </row>
    <row r="200" customFormat="false" ht="15" hidden="false" customHeight="false" outlineLevel="0" collapsed="false">
      <c r="G200" s="20"/>
    </row>
    <row r="201" customFormat="false" ht="15" hidden="false" customHeight="false" outlineLevel="0" collapsed="false">
      <c r="G201" s="20"/>
    </row>
    <row r="202" customFormat="false" ht="15" hidden="false" customHeight="false" outlineLevel="0" collapsed="false">
      <c r="G202" s="20"/>
    </row>
    <row r="203" customFormat="false" ht="15" hidden="false" customHeight="false" outlineLevel="0" collapsed="false">
      <c r="G203" s="20"/>
    </row>
    <row r="204" customFormat="false" ht="15" hidden="false" customHeight="false" outlineLevel="0" collapsed="false">
      <c r="G204" s="20"/>
    </row>
    <row r="205" customFormat="false" ht="15" hidden="false" customHeight="false" outlineLevel="0" collapsed="false">
      <c r="G205" s="20"/>
    </row>
    <row r="206" customFormat="false" ht="15" hidden="false" customHeight="false" outlineLevel="0" collapsed="false">
      <c r="G206" s="20"/>
    </row>
    <row r="207" customFormat="false" ht="15" hidden="false" customHeight="false" outlineLevel="0" collapsed="false">
      <c r="G207" s="20"/>
    </row>
    <row r="208" customFormat="false" ht="15" hidden="false" customHeight="false" outlineLevel="0" collapsed="false">
      <c r="G208" s="20"/>
    </row>
    <row r="209" customFormat="false" ht="15" hidden="false" customHeight="false" outlineLevel="0" collapsed="false">
      <c r="G209" s="20"/>
    </row>
    <row r="210" customFormat="false" ht="15" hidden="false" customHeight="false" outlineLevel="0" collapsed="false">
      <c r="G210" s="20"/>
    </row>
    <row r="211" customFormat="false" ht="15" hidden="false" customHeight="false" outlineLevel="0" collapsed="false">
      <c r="G211" s="20"/>
    </row>
    <row r="212" customFormat="false" ht="15" hidden="false" customHeight="false" outlineLevel="0" collapsed="false">
      <c r="G212" s="20"/>
    </row>
    <row r="213" customFormat="false" ht="15" hidden="false" customHeight="false" outlineLevel="0" collapsed="false">
      <c r="G213" s="20"/>
    </row>
    <row r="214" customFormat="false" ht="15" hidden="false" customHeight="false" outlineLevel="0" collapsed="false">
      <c r="G214" s="20"/>
    </row>
    <row r="215" customFormat="false" ht="15" hidden="false" customHeight="false" outlineLevel="0" collapsed="false">
      <c r="G215" s="20"/>
    </row>
    <row r="216" customFormat="false" ht="15" hidden="false" customHeight="false" outlineLevel="0" collapsed="false">
      <c r="G216" s="20"/>
    </row>
    <row r="217" customFormat="false" ht="15" hidden="false" customHeight="false" outlineLevel="0" collapsed="false">
      <c r="G217" s="20"/>
    </row>
    <row r="218" customFormat="false" ht="15" hidden="false" customHeight="false" outlineLevel="0" collapsed="false">
      <c r="G218" s="20"/>
    </row>
    <row r="219" customFormat="false" ht="15" hidden="false" customHeight="false" outlineLevel="0" collapsed="false">
      <c r="G219" s="20"/>
    </row>
    <row r="220" customFormat="false" ht="15" hidden="false" customHeight="false" outlineLevel="0" collapsed="false">
      <c r="G220" s="20"/>
    </row>
    <row r="221" customFormat="false" ht="15" hidden="false" customHeight="false" outlineLevel="0" collapsed="false">
      <c r="G221" s="20"/>
    </row>
    <row r="222" customFormat="false" ht="15" hidden="false" customHeight="false" outlineLevel="0" collapsed="false">
      <c r="G222" s="20"/>
    </row>
    <row r="223" customFormat="false" ht="15" hidden="false" customHeight="false" outlineLevel="0" collapsed="false">
      <c r="G223" s="20"/>
    </row>
    <row r="224" customFormat="false" ht="15" hidden="false" customHeight="false" outlineLevel="0" collapsed="false">
      <c r="G224" s="20"/>
    </row>
    <row r="225" customFormat="false" ht="15" hidden="false" customHeight="false" outlineLevel="0" collapsed="false">
      <c r="G225" s="20"/>
    </row>
    <row r="226" customFormat="false" ht="15" hidden="false" customHeight="false" outlineLevel="0" collapsed="false">
      <c r="G226" s="20"/>
    </row>
    <row r="227" customFormat="false" ht="15" hidden="false" customHeight="false" outlineLevel="0" collapsed="false">
      <c r="G227" s="20"/>
    </row>
    <row r="228" customFormat="false" ht="15" hidden="false" customHeight="false" outlineLevel="0" collapsed="false">
      <c r="G228" s="20"/>
    </row>
    <row r="229" customFormat="false" ht="15" hidden="false" customHeight="false" outlineLevel="0" collapsed="false">
      <c r="G229" s="20"/>
    </row>
    <row r="230" customFormat="false" ht="15" hidden="false" customHeight="false" outlineLevel="0" collapsed="false">
      <c r="G230" s="20"/>
    </row>
    <row r="231" customFormat="false" ht="15" hidden="false" customHeight="false" outlineLevel="0" collapsed="false">
      <c r="G231" s="20"/>
    </row>
    <row r="232" customFormat="false" ht="15" hidden="false" customHeight="false" outlineLevel="0" collapsed="false">
      <c r="G232" s="20"/>
    </row>
    <row r="233" customFormat="false" ht="15" hidden="false" customHeight="false" outlineLevel="0" collapsed="false">
      <c r="G233" s="20"/>
    </row>
    <row r="234" customFormat="false" ht="15" hidden="false" customHeight="false" outlineLevel="0" collapsed="false">
      <c r="G234" s="20"/>
    </row>
    <row r="235" customFormat="false" ht="15" hidden="false" customHeight="false" outlineLevel="0" collapsed="false">
      <c r="G235" s="20"/>
    </row>
    <row r="236" customFormat="false" ht="15" hidden="false" customHeight="false" outlineLevel="0" collapsed="false">
      <c r="G236" s="20"/>
    </row>
    <row r="237" customFormat="false" ht="15" hidden="false" customHeight="false" outlineLevel="0" collapsed="false">
      <c r="G237" s="20"/>
    </row>
    <row r="238" customFormat="false" ht="15" hidden="false" customHeight="false" outlineLevel="0" collapsed="false">
      <c r="G238" s="20"/>
    </row>
    <row r="239" customFormat="false" ht="15" hidden="false" customHeight="false" outlineLevel="0" collapsed="false">
      <c r="G239" s="20"/>
    </row>
    <row r="240" customFormat="false" ht="15" hidden="false" customHeight="false" outlineLevel="0" collapsed="false">
      <c r="G240" s="20"/>
    </row>
    <row r="241" customFormat="false" ht="15" hidden="false" customHeight="false" outlineLevel="0" collapsed="false">
      <c r="G241" s="20"/>
    </row>
    <row r="242" customFormat="false" ht="15" hidden="false" customHeight="false" outlineLevel="0" collapsed="false">
      <c r="G242" s="20"/>
    </row>
    <row r="243" customFormat="false" ht="15" hidden="false" customHeight="false" outlineLevel="0" collapsed="false">
      <c r="G243" s="20"/>
    </row>
    <row r="244" customFormat="false" ht="15" hidden="false" customHeight="false" outlineLevel="0" collapsed="false">
      <c r="G244" s="20"/>
    </row>
    <row r="245" customFormat="false" ht="15" hidden="false" customHeight="false" outlineLevel="0" collapsed="false">
      <c r="G245" s="20"/>
    </row>
    <row r="246" customFormat="false" ht="15" hidden="false" customHeight="false" outlineLevel="0" collapsed="false">
      <c r="G246" s="20"/>
    </row>
    <row r="247" customFormat="false" ht="15" hidden="false" customHeight="false" outlineLevel="0" collapsed="false">
      <c r="G247" s="20"/>
    </row>
    <row r="248" customFormat="false" ht="15" hidden="false" customHeight="false" outlineLevel="0" collapsed="false">
      <c r="G248" s="20"/>
    </row>
    <row r="249" customFormat="false" ht="15" hidden="false" customHeight="false" outlineLevel="0" collapsed="false">
      <c r="G249" s="20"/>
    </row>
    <row r="250" customFormat="false" ht="15" hidden="false" customHeight="false" outlineLevel="0" collapsed="false">
      <c r="G250" s="20"/>
    </row>
    <row r="251" customFormat="false" ht="15" hidden="false" customHeight="false" outlineLevel="0" collapsed="false">
      <c r="G251" s="20"/>
    </row>
    <row r="252" customFormat="false" ht="15" hidden="false" customHeight="false" outlineLevel="0" collapsed="false">
      <c r="G252" s="20"/>
    </row>
    <row r="253" customFormat="false" ht="15" hidden="false" customHeight="false" outlineLevel="0" collapsed="false">
      <c r="G253" s="20"/>
    </row>
    <row r="254" customFormat="false" ht="15" hidden="false" customHeight="false" outlineLevel="0" collapsed="false">
      <c r="G254" s="20"/>
    </row>
    <row r="255" customFormat="false" ht="15" hidden="false" customHeight="false" outlineLevel="0" collapsed="false">
      <c r="G255" s="20"/>
    </row>
    <row r="256" customFormat="false" ht="15" hidden="false" customHeight="false" outlineLevel="0" collapsed="false">
      <c r="G256" s="20"/>
    </row>
    <row r="257" customFormat="false" ht="15" hidden="false" customHeight="false" outlineLevel="0" collapsed="false">
      <c r="G257" s="20"/>
    </row>
    <row r="258" customFormat="false" ht="15" hidden="false" customHeight="false" outlineLevel="0" collapsed="false">
      <c r="G258" s="20"/>
    </row>
    <row r="259" customFormat="false" ht="15" hidden="false" customHeight="false" outlineLevel="0" collapsed="false">
      <c r="G259" s="20"/>
    </row>
    <row r="260" customFormat="false" ht="15" hidden="false" customHeight="false" outlineLevel="0" collapsed="false">
      <c r="G260" s="20"/>
    </row>
    <row r="261" customFormat="false" ht="15" hidden="false" customHeight="false" outlineLevel="0" collapsed="false">
      <c r="G261" s="20"/>
    </row>
    <row r="262" customFormat="false" ht="15" hidden="false" customHeight="false" outlineLevel="0" collapsed="false">
      <c r="G262" s="20"/>
    </row>
    <row r="263" customFormat="false" ht="15" hidden="false" customHeight="false" outlineLevel="0" collapsed="false">
      <c r="G263" s="20"/>
    </row>
    <row r="264" customFormat="false" ht="15" hidden="false" customHeight="false" outlineLevel="0" collapsed="false">
      <c r="G264" s="20"/>
    </row>
    <row r="265" customFormat="false" ht="15" hidden="false" customHeight="false" outlineLevel="0" collapsed="false">
      <c r="G265" s="20"/>
    </row>
    <row r="266" customFormat="false" ht="15" hidden="false" customHeight="false" outlineLevel="0" collapsed="false">
      <c r="G266" s="20"/>
    </row>
    <row r="267" customFormat="false" ht="15" hidden="false" customHeight="false" outlineLevel="0" collapsed="false">
      <c r="G267" s="20"/>
    </row>
    <row r="268" customFormat="false" ht="15" hidden="false" customHeight="false" outlineLevel="0" collapsed="false">
      <c r="G268" s="20"/>
    </row>
    <row r="269" customFormat="false" ht="15" hidden="false" customHeight="false" outlineLevel="0" collapsed="false">
      <c r="G269" s="20"/>
    </row>
    <row r="270" customFormat="false" ht="15" hidden="false" customHeight="false" outlineLevel="0" collapsed="false">
      <c r="G270" s="20"/>
    </row>
    <row r="271" customFormat="false" ht="15" hidden="false" customHeight="false" outlineLevel="0" collapsed="false">
      <c r="G271" s="20"/>
    </row>
    <row r="272" customFormat="false" ht="15" hidden="false" customHeight="false" outlineLevel="0" collapsed="false">
      <c r="G272" s="20"/>
    </row>
    <row r="273" customFormat="false" ht="15" hidden="false" customHeight="false" outlineLevel="0" collapsed="false">
      <c r="G273" s="20"/>
    </row>
    <row r="274" customFormat="false" ht="15" hidden="false" customHeight="false" outlineLevel="0" collapsed="false">
      <c r="G274" s="20"/>
    </row>
    <row r="275" customFormat="false" ht="15" hidden="false" customHeight="false" outlineLevel="0" collapsed="false">
      <c r="G275" s="20"/>
    </row>
    <row r="276" customFormat="false" ht="15" hidden="false" customHeight="false" outlineLevel="0" collapsed="false">
      <c r="G276" s="20"/>
    </row>
    <row r="277" customFormat="false" ht="15" hidden="false" customHeight="false" outlineLevel="0" collapsed="false">
      <c r="G277" s="20"/>
    </row>
    <row r="278" customFormat="false" ht="15" hidden="false" customHeight="false" outlineLevel="0" collapsed="false">
      <c r="G278" s="20"/>
    </row>
    <row r="279" customFormat="false" ht="15" hidden="false" customHeight="false" outlineLevel="0" collapsed="false">
      <c r="G279" s="20"/>
    </row>
    <row r="280" customFormat="false" ht="15" hidden="false" customHeight="false" outlineLevel="0" collapsed="false">
      <c r="G280" s="20"/>
    </row>
    <row r="281" customFormat="false" ht="15" hidden="false" customHeight="false" outlineLevel="0" collapsed="false">
      <c r="G281" s="20"/>
    </row>
    <row r="282" customFormat="false" ht="15" hidden="false" customHeight="false" outlineLevel="0" collapsed="false">
      <c r="G282" s="20"/>
    </row>
    <row r="283" customFormat="false" ht="15" hidden="false" customHeight="false" outlineLevel="0" collapsed="false">
      <c r="G283" s="20"/>
    </row>
    <row r="284" customFormat="false" ht="15" hidden="false" customHeight="false" outlineLevel="0" collapsed="false">
      <c r="G284" s="20"/>
    </row>
    <row r="285" customFormat="false" ht="15" hidden="false" customHeight="false" outlineLevel="0" collapsed="false">
      <c r="G285" s="20"/>
    </row>
    <row r="286" customFormat="false" ht="15" hidden="false" customHeight="false" outlineLevel="0" collapsed="false">
      <c r="G286" s="20"/>
    </row>
    <row r="287" customFormat="false" ht="15" hidden="false" customHeight="false" outlineLevel="0" collapsed="false">
      <c r="G287" s="20"/>
    </row>
    <row r="288" customFormat="false" ht="15" hidden="false" customHeight="false" outlineLevel="0" collapsed="false">
      <c r="G288" s="20"/>
    </row>
    <row r="289" customFormat="false" ht="15" hidden="false" customHeight="false" outlineLevel="0" collapsed="false">
      <c r="G289" s="20"/>
    </row>
    <row r="290" customFormat="false" ht="15" hidden="false" customHeight="false" outlineLevel="0" collapsed="false">
      <c r="G290" s="20"/>
    </row>
    <row r="291" customFormat="false" ht="15" hidden="false" customHeight="false" outlineLevel="0" collapsed="false">
      <c r="G291" s="20"/>
    </row>
    <row r="292" customFormat="false" ht="15" hidden="false" customHeight="false" outlineLevel="0" collapsed="false">
      <c r="G292" s="20"/>
    </row>
    <row r="293" customFormat="false" ht="15" hidden="false" customHeight="false" outlineLevel="0" collapsed="false">
      <c r="G293" s="20"/>
    </row>
    <row r="294" customFormat="false" ht="15" hidden="false" customHeight="false" outlineLevel="0" collapsed="false">
      <c r="G294" s="20"/>
    </row>
    <row r="295" customFormat="false" ht="15" hidden="false" customHeight="false" outlineLevel="0" collapsed="false">
      <c r="G295" s="20"/>
    </row>
    <row r="296" customFormat="false" ht="15" hidden="false" customHeight="false" outlineLevel="0" collapsed="false">
      <c r="G296" s="20"/>
    </row>
    <row r="297" customFormat="false" ht="15" hidden="false" customHeight="false" outlineLevel="0" collapsed="false">
      <c r="G297" s="20"/>
    </row>
    <row r="298" customFormat="false" ht="15" hidden="false" customHeight="false" outlineLevel="0" collapsed="false">
      <c r="G298" s="20"/>
    </row>
    <row r="299" customFormat="false" ht="15" hidden="false" customHeight="false" outlineLevel="0" collapsed="false">
      <c r="G299" s="20"/>
    </row>
    <row r="300" customFormat="false" ht="15" hidden="false" customHeight="false" outlineLevel="0" collapsed="false">
      <c r="G300" s="20"/>
    </row>
    <row r="301" customFormat="false" ht="15" hidden="false" customHeight="false" outlineLevel="0" collapsed="false">
      <c r="G301" s="20"/>
    </row>
    <row r="302" customFormat="false" ht="15" hidden="false" customHeight="false" outlineLevel="0" collapsed="false">
      <c r="G302" s="20"/>
    </row>
    <row r="303" customFormat="false" ht="15" hidden="false" customHeight="false" outlineLevel="0" collapsed="false">
      <c r="G303" s="20"/>
    </row>
    <row r="304" customFormat="false" ht="15" hidden="false" customHeight="false" outlineLevel="0" collapsed="false">
      <c r="G304" s="20"/>
    </row>
    <row r="305" customFormat="false" ht="15" hidden="false" customHeight="false" outlineLevel="0" collapsed="false">
      <c r="G305" s="20"/>
    </row>
    <row r="306" customFormat="false" ht="15" hidden="false" customHeight="false" outlineLevel="0" collapsed="false">
      <c r="G306" s="20"/>
    </row>
    <row r="307" customFormat="false" ht="15" hidden="false" customHeight="false" outlineLevel="0" collapsed="false">
      <c r="G307" s="20"/>
    </row>
    <row r="308" customFormat="false" ht="15" hidden="false" customHeight="false" outlineLevel="0" collapsed="false">
      <c r="G308" s="20"/>
    </row>
    <row r="309" customFormat="false" ht="15" hidden="false" customHeight="false" outlineLevel="0" collapsed="false">
      <c r="G309" s="20"/>
    </row>
    <row r="310" customFormat="false" ht="15" hidden="false" customHeight="false" outlineLevel="0" collapsed="false">
      <c r="G310" s="20"/>
    </row>
    <row r="311" customFormat="false" ht="15" hidden="false" customHeight="false" outlineLevel="0" collapsed="false">
      <c r="G311" s="20"/>
    </row>
    <row r="312" customFormat="false" ht="15" hidden="false" customHeight="false" outlineLevel="0" collapsed="false">
      <c r="G312" s="20"/>
    </row>
    <row r="313" customFormat="false" ht="15" hidden="false" customHeight="false" outlineLevel="0" collapsed="false">
      <c r="G313" s="20"/>
    </row>
    <row r="314" customFormat="false" ht="15" hidden="false" customHeight="false" outlineLevel="0" collapsed="false">
      <c r="G314" s="20"/>
    </row>
    <row r="315" customFormat="false" ht="15" hidden="false" customHeight="false" outlineLevel="0" collapsed="false">
      <c r="G315" s="20"/>
    </row>
    <row r="316" customFormat="false" ht="15" hidden="false" customHeight="false" outlineLevel="0" collapsed="false">
      <c r="G316" s="20"/>
    </row>
    <row r="317" customFormat="false" ht="15" hidden="false" customHeight="false" outlineLevel="0" collapsed="false">
      <c r="G317" s="20"/>
    </row>
    <row r="318" customFormat="false" ht="15" hidden="false" customHeight="false" outlineLevel="0" collapsed="false">
      <c r="G318" s="20"/>
    </row>
    <row r="319" customFormat="false" ht="15" hidden="false" customHeight="false" outlineLevel="0" collapsed="false">
      <c r="G319" s="20"/>
    </row>
    <row r="320" customFormat="false" ht="15" hidden="false" customHeight="false" outlineLevel="0" collapsed="false">
      <c r="G320" s="20"/>
    </row>
    <row r="321" customFormat="false" ht="15" hidden="false" customHeight="false" outlineLevel="0" collapsed="false">
      <c r="G321" s="20"/>
    </row>
    <row r="322" customFormat="false" ht="15" hidden="false" customHeight="false" outlineLevel="0" collapsed="false">
      <c r="G322" s="20"/>
    </row>
    <row r="323" customFormat="false" ht="15" hidden="false" customHeight="false" outlineLevel="0" collapsed="false">
      <c r="G323" s="20"/>
    </row>
    <row r="324" customFormat="false" ht="15" hidden="false" customHeight="false" outlineLevel="0" collapsed="false">
      <c r="G324" s="20"/>
    </row>
    <row r="325" customFormat="false" ht="15" hidden="false" customHeight="false" outlineLevel="0" collapsed="false">
      <c r="G325" s="20"/>
    </row>
    <row r="326" customFormat="false" ht="15" hidden="false" customHeight="false" outlineLevel="0" collapsed="false">
      <c r="G326" s="20"/>
    </row>
    <row r="327" customFormat="false" ht="15" hidden="false" customHeight="false" outlineLevel="0" collapsed="false">
      <c r="G327" s="20"/>
    </row>
    <row r="328" customFormat="false" ht="15" hidden="false" customHeight="false" outlineLevel="0" collapsed="false">
      <c r="G328" s="20"/>
    </row>
    <row r="329" customFormat="false" ht="15" hidden="false" customHeight="false" outlineLevel="0" collapsed="false">
      <c r="G329" s="20"/>
    </row>
    <row r="330" customFormat="false" ht="15" hidden="false" customHeight="false" outlineLevel="0" collapsed="false">
      <c r="G330" s="20"/>
    </row>
    <row r="331" customFormat="false" ht="15" hidden="false" customHeight="false" outlineLevel="0" collapsed="false">
      <c r="G331" s="20"/>
    </row>
    <row r="332" customFormat="false" ht="15" hidden="false" customHeight="false" outlineLevel="0" collapsed="false">
      <c r="G332" s="20"/>
    </row>
    <row r="333" customFormat="false" ht="15" hidden="false" customHeight="false" outlineLevel="0" collapsed="false">
      <c r="G333" s="20"/>
    </row>
    <row r="334" customFormat="false" ht="15" hidden="false" customHeight="false" outlineLevel="0" collapsed="false">
      <c r="G334" s="20"/>
    </row>
    <row r="335" customFormat="false" ht="15" hidden="false" customHeight="false" outlineLevel="0" collapsed="false">
      <c r="G335" s="20"/>
    </row>
    <row r="336" customFormat="false" ht="15" hidden="false" customHeight="false" outlineLevel="0" collapsed="false">
      <c r="G336" s="20"/>
    </row>
    <row r="337" customFormat="false" ht="15" hidden="false" customHeight="false" outlineLevel="0" collapsed="false">
      <c r="G337" s="20"/>
    </row>
    <row r="338" customFormat="false" ht="15" hidden="false" customHeight="false" outlineLevel="0" collapsed="false">
      <c r="G338" s="20"/>
    </row>
    <row r="339" customFormat="false" ht="15" hidden="false" customHeight="false" outlineLevel="0" collapsed="false">
      <c r="G339" s="20"/>
    </row>
    <row r="340" customFormat="false" ht="15" hidden="false" customHeight="false" outlineLevel="0" collapsed="false">
      <c r="G340" s="20"/>
    </row>
    <row r="341" customFormat="false" ht="15" hidden="false" customHeight="false" outlineLevel="0" collapsed="false">
      <c r="G341" s="20"/>
    </row>
    <row r="342" customFormat="false" ht="15" hidden="false" customHeight="false" outlineLevel="0" collapsed="false">
      <c r="G342" s="20"/>
    </row>
    <row r="343" customFormat="false" ht="15" hidden="false" customHeight="false" outlineLevel="0" collapsed="false">
      <c r="G343" s="20"/>
    </row>
    <row r="344" customFormat="false" ht="15" hidden="false" customHeight="false" outlineLevel="0" collapsed="false">
      <c r="G344" s="20"/>
    </row>
    <row r="345" customFormat="false" ht="15" hidden="false" customHeight="false" outlineLevel="0" collapsed="false">
      <c r="G345" s="20"/>
    </row>
    <row r="346" customFormat="false" ht="15" hidden="false" customHeight="false" outlineLevel="0" collapsed="false">
      <c r="G346" s="20"/>
    </row>
    <row r="347" customFormat="false" ht="15" hidden="false" customHeight="false" outlineLevel="0" collapsed="false">
      <c r="G347" s="20"/>
    </row>
    <row r="348" customFormat="false" ht="15" hidden="false" customHeight="false" outlineLevel="0" collapsed="false">
      <c r="G348" s="20"/>
    </row>
    <row r="349" customFormat="false" ht="15" hidden="false" customHeight="false" outlineLevel="0" collapsed="false">
      <c r="G349" s="20"/>
    </row>
    <row r="350" customFormat="false" ht="15" hidden="false" customHeight="false" outlineLevel="0" collapsed="false">
      <c r="G350" s="20"/>
    </row>
    <row r="351" customFormat="false" ht="15" hidden="false" customHeight="false" outlineLevel="0" collapsed="false">
      <c r="G351" s="20"/>
    </row>
    <row r="352" customFormat="false" ht="15" hidden="false" customHeight="false" outlineLevel="0" collapsed="false">
      <c r="G352" s="20"/>
    </row>
    <row r="353" customFormat="false" ht="15" hidden="false" customHeight="false" outlineLevel="0" collapsed="false">
      <c r="G353" s="20"/>
    </row>
    <row r="354" customFormat="false" ht="15" hidden="false" customHeight="false" outlineLevel="0" collapsed="false">
      <c r="G354" s="20"/>
    </row>
    <row r="355" customFormat="false" ht="15" hidden="false" customHeight="false" outlineLevel="0" collapsed="false">
      <c r="G355" s="20"/>
    </row>
    <row r="356" customFormat="false" ht="15" hidden="false" customHeight="false" outlineLevel="0" collapsed="false">
      <c r="G356" s="20"/>
    </row>
    <row r="357" customFormat="false" ht="15" hidden="false" customHeight="false" outlineLevel="0" collapsed="false">
      <c r="G357" s="20"/>
    </row>
    <row r="358" customFormat="false" ht="15" hidden="false" customHeight="false" outlineLevel="0" collapsed="false">
      <c r="G358" s="20"/>
    </row>
    <row r="359" customFormat="false" ht="15" hidden="false" customHeight="false" outlineLevel="0" collapsed="false">
      <c r="G359" s="20"/>
    </row>
    <row r="360" customFormat="false" ht="15" hidden="false" customHeight="false" outlineLevel="0" collapsed="false">
      <c r="G360" s="20"/>
    </row>
    <row r="361" customFormat="false" ht="15" hidden="false" customHeight="false" outlineLevel="0" collapsed="false">
      <c r="G361" s="20"/>
    </row>
    <row r="362" customFormat="false" ht="15" hidden="false" customHeight="false" outlineLevel="0" collapsed="false">
      <c r="G362" s="20"/>
    </row>
    <row r="363" customFormat="false" ht="15" hidden="false" customHeight="false" outlineLevel="0" collapsed="false">
      <c r="G363" s="20"/>
    </row>
    <row r="364" customFormat="false" ht="15" hidden="false" customHeight="false" outlineLevel="0" collapsed="false">
      <c r="G364" s="20"/>
    </row>
    <row r="365" customFormat="false" ht="15" hidden="false" customHeight="false" outlineLevel="0" collapsed="false">
      <c r="G365" s="20"/>
    </row>
    <row r="366" customFormat="false" ht="15" hidden="false" customHeight="false" outlineLevel="0" collapsed="false">
      <c r="G366" s="20"/>
    </row>
    <row r="367" customFormat="false" ht="15" hidden="false" customHeight="false" outlineLevel="0" collapsed="false">
      <c r="G367" s="20"/>
    </row>
    <row r="368" customFormat="false" ht="15" hidden="false" customHeight="false" outlineLevel="0" collapsed="false">
      <c r="G368" s="20"/>
    </row>
    <row r="369" customFormat="false" ht="15" hidden="false" customHeight="false" outlineLevel="0" collapsed="false">
      <c r="G369" s="20"/>
    </row>
    <row r="370" customFormat="false" ht="15" hidden="false" customHeight="false" outlineLevel="0" collapsed="false">
      <c r="G370" s="20"/>
    </row>
    <row r="371" customFormat="false" ht="15" hidden="false" customHeight="false" outlineLevel="0" collapsed="false">
      <c r="G371" s="20"/>
    </row>
    <row r="372" customFormat="false" ht="15" hidden="false" customHeight="false" outlineLevel="0" collapsed="false">
      <c r="G372" s="20"/>
    </row>
    <row r="373" customFormat="false" ht="15" hidden="false" customHeight="false" outlineLevel="0" collapsed="false">
      <c r="G373" s="20"/>
    </row>
    <row r="374" customFormat="false" ht="15" hidden="false" customHeight="false" outlineLevel="0" collapsed="false">
      <c r="G374" s="20"/>
    </row>
    <row r="375" customFormat="false" ht="15" hidden="false" customHeight="false" outlineLevel="0" collapsed="false">
      <c r="G375" s="20"/>
    </row>
    <row r="376" customFormat="false" ht="15" hidden="false" customHeight="false" outlineLevel="0" collapsed="false">
      <c r="G376" s="20"/>
    </row>
    <row r="377" customFormat="false" ht="15" hidden="false" customHeight="false" outlineLevel="0" collapsed="false">
      <c r="G377" s="20"/>
    </row>
    <row r="378" customFormat="false" ht="15" hidden="false" customHeight="false" outlineLevel="0" collapsed="false">
      <c r="G378" s="20"/>
    </row>
    <row r="379" customFormat="false" ht="15" hidden="false" customHeight="false" outlineLevel="0" collapsed="false">
      <c r="G379" s="20"/>
    </row>
    <row r="380" customFormat="false" ht="15" hidden="false" customHeight="false" outlineLevel="0" collapsed="false">
      <c r="G380" s="20"/>
    </row>
    <row r="381" customFormat="false" ht="15" hidden="false" customHeight="false" outlineLevel="0" collapsed="false">
      <c r="G381" s="20"/>
    </row>
    <row r="382" customFormat="false" ht="15" hidden="false" customHeight="false" outlineLevel="0" collapsed="false">
      <c r="G382" s="20"/>
    </row>
    <row r="383" customFormat="false" ht="15" hidden="false" customHeight="false" outlineLevel="0" collapsed="false">
      <c r="G383" s="20"/>
    </row>
    <row r="384" customFormat="false" ht="15" hidden="false" customHeight="false" outlineLevel="0" collapsed="false">
      <c r="G384" s="20"/>
    </row>
    <row r="385" customFormat="false" ht="15" hidden="false" customHeight="false" outlineLevel="0" collapsed="false">
      <c r="G385" s="20"/>
    </row>
    <row r="386" customFormat="false" ht="15" hidden="false" customHeight="false" outlineLevel="0" collapsed="false">
      <c r="G386" s="20"/>
    </row>
    <row r="387" customFormat="false" ht="15" hidden="false" customHeight="false" outlineLevel="0" collapsed="false">
      <c r="G387" s="20"/>
    </row>
    <row r="388" customFormat="false" ht="15" hidden="false" customHeight="false" outlineLevel="0" collapsed="false">
      <c r="G388" s="20"/>
    </row>
    <row r="389" customFormat="false" ht="15" hidden="false" customHeight="false" outlineLevel="0" collapsed="false">
      <c r="G389" s="20"/>
    </row>
    <row r="390" customFormat="false" ht="15" hidden="false" customHeight="false" outlineLevel="0" collapsed="false">
      <c r="G390" s="20"/>
    </row>
    <row r="391" customFormat="false" ht="15" hidden="false" customHeight="false" outlineLevel="0" collapsed="false">
      <c r="G391" s="20"/>
    </row>
    <row r="392" customFormat="false" ht="15" hidden="false" customHeight="false" outlineLevel="0" collapsed="false">
      <c r="G392" s="20"/>
    </row>
    <row r="393" customFormat="false" ht="15" hidden="false" customHeight="false" outlineLevel="0" collapsed="false">
      <c r="G393" s="20"/>
    </row>
    <row r="394" customFormat="false" ht="15" hidden="false" customHeight="false" outlineLevel="0" collapsed="false">
      <c r="G394" s="20"/>
    </row>
    <row r="395" customFormat="false" ht="15" hidden="false" customHeight="false" outlineLevel="0" collapsed="false">
      <c r="G395" s="20"/>
    </row>
    <row r="396" customFormat="false" ht="15" hidden="false" customHeight="false" outlineLevel="0" collapsed="false">
      <c r="G396" s="20"/>
    </row>
    <row r="397" customFormat="false" ht="15" hidden="false" customHeight="false" outlineLevel="0" collapsed="false">
      <c r="G397" s="20"/>
    </row>
    <row r="398" customFormat="false" ht="15" hidden="false" customHeight="false" outlineLevel="0" collapsed="false">
      <c r="G398" s="20"/>
    </row>
    <row r="399" customFormat="false" ht="15" hidden="false" customHeight="false" outlineLevel="0" collapsed="false">
      <c r="G399" s="20"/>
    </row>
    <row r="400" customFormat="false" ht="15" hidden="false" customHeight="false" outlineLevel="0" collapsed="false">
      <c r="G400" s="20"/>
    </row>
    <row r="401" customFormat="false" ht="15" hidden="false" customHeight="false" outlineLevel="0" collapsed="false">
      <c r="G401" s="20"/>
    </row>
    <row r="402" customFormat="false" ht="15" hidden="false" customHeight="false" outlineLevel="0" collapsed="false">
      <c r="G402" s="20"/>
    </row>
    <row r="403" customFormat="false" ht="15" hidden="false" customHeight="false" outlineLevel="0" collapsed="false">
      <c r="G403" s="20"/>
    </row>
    <row r="404" customFormat="false" ht="15" hidden="false" customHeight="false" outlineLevel="0" collapsed="false">
      <c r="G404" s="20"/>
    </row>
    <row r="405" customFormat="false" ht="15" hidden="false" customHeight="false" outlineLevel="0" collapsed="false">
      <c r="G405" s="20"/>
    </row>
    <row r="406" customFormat="false" ht="15" hidden="false" customHeight="false" outlineLevel="0" collapsed="false">
      <c r="G406" s="20"/>
    </row>
    <row r="407" customFormat="false" ht="15" hidden="false" customHeight="false" outlineLevel="0" collapsed="false">
      <c r="G407" s="20"/>
    </row>
    <row r="408" customFormat="false" ht="15" hidden="false" customHeight="false" outlineLevel="0" collapsed="false">
      <c r="G408" s="20"/>
    </row>
    <row r="409" customFormat="false" ht="15" hidden="false" customHeight="false" outlineLevel="0" collapsed="false">
      <c r="G409" s="20"/>
    </row>
    <row r="410" customFormat="false" ht="15" hidden="false" customHeight="false" outlineLevel="0" collapsed="false">
      <c r="G410" s="20"/>
    </row>
    <row r="411" customFormat="false" ht="15" hidden="false" customHeight="false" outlineLevel="0" collapsed="false">
      <c r="G411" s="20"/>
    </row>
    <row r="412" customFormat="false" ht="15" hidden="false" customHeight="false" outlineLevel="0" collapsed="false">
      <c r="G412" s="20"/>
    </row>
    <row r="413" customFormat="false" ht="15" hidden="false" customHeight="false" outlineLevel="0" collapsed="false">
      <c r="G413" s="20"/>
    </row>
    <row r="414" customFormat="false" ht="15" hidden="false" customHeight="false" outlineLevel="0" collapsed="false">
      <c r="G414" s="20"/>
    </row>
    <row r="415" customFormat="false" ht="15" hidden="false" customHeight="false" outlineLevel="0" collapsed="false">
      <c r="G415" s="20"/>
    </row>
    <row r="416" customFormat="false" ht="15" hidden="false" customHeight="false" outlineLevel="0" collapsed="false">
      <c r="G416" s="20"/>
    </row>
    <row r="417" customFormat="false" ht="15" hidden="false" customHeight="false" outlineLevel="0" collapsed="false">
      <c r="G417" s="20"/>
    </row>
    <row r="418" customFormat="false" ht="15" hidden="false" customHeight="false" outlineLevel="0" collapsed="false">
      <c r="G418" s="20"/>
    </row>
    <row r="419" customFormat="false" ht="15" hidden="false" customHeight="false" outlineLevel="0" collapsed="false">
      <c r="G419" s="20"/>
    </row>
    <row r="420" customFormat="false" ht="15" hidden="false" customHeight="false" outlineLevel="0" collapsed="false">
      <c r="G420" s="20"/>
    </row>
    <row r="421" customFormat="false" ht="15" hidden="false" customHeight="false" outlineLevel="0" collapsed="false">
      <c r="G421" s="20"/>
    </row>
    <row r="422" customFormat="false" ht="15" hidden="false" customHeight="false" outlineLevel="0" collapsed="false">
      <c r="G422" s="20"/>
    </row>
    <row r="423" customFormat="false" ht="15" hidden="false" customHeight="false" outlineLevel="0" collapsed="false">
      <c r="G423" s="20"/>
    </row>
    <row r="424" customFormat="false" ht="15" hidden="false" customHeight="false" outlineLevel="0" collapsed="false">
      <c r="G424" s="20"/>
    </row>
    <row r="425" customFormat="false" ht="15" hidden="false" customHeight="false" outlineLevel="0" collapsed="false">
      <c r="G425" s="20"/>
    </row>
    <row r="426" customFormat="false" ht="15" hidden="false" customHeight="false" outlineLevel="0" collapsed="false">
      <c r="G426" s="20"/>
    </row>
    <row r="427" customFormat="false" ht="15" hidden="false" customHeight="false" outlineLevel="0" collapsed="false">
      <c r="G427" s="20"/>
    </row>
    <row r="428" customFormat="false" ht="15" hidden="false" customHeight="false" outlineLevel="0" collapsed="false">
      <c r="G428" s="20"/>
    </row>
    <row r="429" customFormat="false" ht="15" hidden="false" customHeight="false" outlineLevel="0" collapsed="false">
      <c r="G429" s="20"/>
    </row>
    <row r="430" customFormat="false" ht="15" hidden="false" customHeight="false" outlineLevel="0" collapsed="false">
      <c r="G430" s="20"/>
    </row>
    <row r="431" customFormat="false" ht="15" hidden="false" customHeight="false" outlineLevel="0" collapsed="false">
      <c r="G431" s="20"/>
    </row>
    <row r="432" customFormat="false" ht="15" hidden="false" customHeight="false" outlineLevel="0" collapsed="false">
      <c r="G432" s="20"/>
    </row>
    <row r="433" customFormat="false" ht="15" hidden="false" customHeight="false" outlineLevel="0" collapsed="false">
      <c r="G433" s="20"/>
    </row>
    <row r="434" customFormat="false" ht="15" hidden="false" customHeight="false" outlineLevel="0" collapsed="false">
      <c r="G434" s="20"/>
    </row>
    <row r="435" customFormat="false" ht="15" hidden="false" customHeight="false" outlineLevel="0" collapsed="false">
      <c r="G435" s="20"/>
    </row>
    <row r="436" customFormat="false" ht="15" hidden="false" customHeight="false" outlineLevel="0" collapsed="false">
      <c r="G436" s="20"/>
    </row>
    <row r="437" customFormat="false" ht="15" hidden="false" customHeight="false" outlineLevel="0" collapsed="false">
      <c r="G437" s="20"/>
    </row>
    <row r="438" customFormat="false" ht="15" hidden="false" customHeight="false" outlineLevel="0" collapsed="false">
      <c r="G438" s="20"/>
    </row>
    <row r="439" customFormat="false" ht="15" hidden="false" customHeight="false" outlineLevel="0" collapsed="false">
      <c r="G439" s="20"/>
    </row>
    <row r="440" customFormat="false" ht="15" hidden="false" customHeight="false" outlineLevel="0" collapsed="false">
      <c r="G440" s="20"/>
    </row>
    <row r="441" customFormat="false" ht="15" hidden="false" customHeight="false" outlineLevel="0" collapsed="false">
      <c r="G441" s="20"/>
    </row>
    <row r="442" customFormat="false" ht="15" hidden="false" customHeight="false" outlineLevel="0" collapsed="false">
      <c r="G442" s="20"/>
    </row>
    <row r="443" customFormat="false" ht="15" hidden="false" customHeight="false" outlineLevel="0" collapsed="false">
      <c r="G443" s="20"/>
    </row>
    <row r="444" customFormat="false" ht="15" hidden="false" customHeight="false" outlineLevel="0" collapsed="false">
      <c r="G444" s="20"/>
    </row>
    <row r="445" customFormat="false" ht="15" hidden="false" customHeight="false" outlineLevel="0" collapsed="false">
      <c r="G445" s="20"/>
    </row>
    <row r="446" customFormat="false" ht="15" hidden="false" customHeight="false" outlineLevel="0" collapsed="false">
      <c r="G446" s="20"/>
    </row>
    <row r="447" customFormat="false" ht="15" hidden="false" customHeight="false" outlineLevel="0" collapsed="false">
      <c r="G447" s="20"/>
    </row>
    <row r="448" customFormat="false" ht="15" hidden="false" customHeight="false" outlineLevel="0" collapsed="false">
      <c r="G448" s="20"/>
    </row>
    <row r="449" customFormat="false" ht="15" hidden="false" customHeight="false" outlineLevel="0" collapsed="false">
      <c r="G449" s="20"/>
    </row>
    <row r="450" customFormat="false" ht="15" hidden="false" customHeight="false" outlineLevel="0" collapsed="false">
      <c r="G450" s="20"/>
    </row>
    <row r="451" customFormat="false" ht="15" hidden="false" customHeight="false" outlineLevel="0" collapsed="false">
      <c r="G451" s="20"/>
    </row>
    <row r="452" customFormat="false" ht="15" hidden="false" customHeight="false" outlineLevel="0" collapsed="false">
      <c r="G452" s="20"/>
    </row>
    <row r="453" customFormat="false" ht="15" hidden="false" customHeight="false" outlineLevel="0" collapsed="false">
      <c r="G453" s="20"/>
    </row>
    <row r="454" customFormat="false" ht="15" hidden="false" customHeight="false" outlineLevel="0" collapsed="false">
      <c r="G454" s="20"/>
    </row>
    <row r="455" customFormat="false" ht="15" hidden="false" customHeight="false" outlineLevel="0" collapsed="false">
      <c r="G455" s="20"/>
    </row>
    <row r="456" customFormat="false" ht="15" hidden="false" customHeight="false" outlineLevel="0" collapsed="false">
      <c r="G456" s="20"/>
    </row>
    <row r="457" customFormat="false" ht="15" hidden="false" customHeight="false" outlineLevel="0" collapsed="false">
      <c r="G457" s="20"/>
    </row>
    <row r="458" customFormat="false" ht="15" hidden="false" customHeight="false" outlineLevel="0" collapsed="false">
      <c r="G458" s="20"/>
    </row>
    <row r="459" customFormat="false" ht="15" hidden="false" customHeight="false" outlineLevel="0" collapsed="false">
      <c r="G459" s="20"/>
    </row>
    <row r="460" customFormat="false" ht="15" hidden="false" customHeight="false" outlineLevel="0" collapsed="false">
      <c r="G460" s="20"/>
    </row>
    <row r="461" customFormat="false" ht="15" hidden="false" customHeight="false" outlineLevel="0" collapsed="false">
      <c r="G461" s="20"/>
    </row>
    <row r="462" customFormat="false" ht="15" hidden="false" customHeight="false" outlineLevel="0" collapsed="false">
      <c r="G462" s="20"/>
    </row>
    <row r="463" customFormat="false" ht="15" hidden="false" customHeight="false" outlineLevel="0" collapsed="false">
      <c r="G463" s="20"/>
    </row>
    <row r="464" customFormat="false" ht="15" hidden="false" customHeight="false" outlineLevel="0" collapsed="false">
      <c r="G464" s="20"/>
    </row>
    <row r="465" customFormat="false" ht="15" hidden="false" customHeight="false" outlineLevel="0" collapsed="false">
      <c r="G465" s="20"/>
    </row>
    <row r="466" customFormat="false" ht="15" hidden="false" customHeight="false" outlineLevel="0" collapsed="false">
      <c r="G466" s="20"/>
    </row>
    <row r="467" customFormat="false" ht="15" hidden="false" customHeight="false" outlineLevel="0" collapsed="false">
      <c r="G467" s="20"/>
    </row>
    <row r="468" customFormat="false" ht="15" hidden="false" customHeight="false" outlineLevel="0" collapsed="false">
      <c r="G468" s="20"/>
    </row>
    <row r="469" customFormat="false" ht="15" hidden="false" customHeight="false" outlineLevel="0" collapsed="false">
      <c r="G469" s="20"/>
    </row>
    <row r="470" customFormat="false" ht="15" hidden="false" customHeight="false" outlineLevel="0" collapsed="false">
      <c r="G470" s="20"/>
    </row>
    <row r="471" customFormat="false" ht="15" hidden="false" customHeight="false" outlineLevel="0" collapsed="false">
      <c r="G471" s="20"/>
    </row>
    <row r="472" customFormat="false" ht="15" hidden="false" customHeight="false" outlineLevel="0" collapsed="false">
      <c r="G472" s="20"/>
    </row>
    <row r="473" customFormat="false" ht="15" hidden="false" customHeight="false" outlineLevel="0" collapsed="false">
      <c r="G473" s="20"/>
    </row>
    <row r="474" customFormat="false" ht="15" hidden="false" customHeight="false" outlineLevel="0" collapsed="false">
      <c r="G474" s="20"/>
    </row>
    <row r="475" customFormat="false" ht="15" hidden="false" customHeight="false" outlineLevel="0" collapsed="false">
      <c r="G475" s="20"/>
    </row>
    <row r="476" customFormat="false" ht="15" hidden="false" customHeight="false" outlineLevel="0" collapsed="false">
      <c r="G476" s="20"/>
    </row>
    <row r="477" customFormat="false" ht="15" hidden="false" customHeight="false" outlineLevel="0" collapsed="false">
      <c r="G477" s="20"/>
    </row>
    <row r="478" customFormat="false" ht="15" hidden="false" customHeight="false" outlineLevel="0" collapsed="false">
      <c r="G478" s="20"/>
    </row>
    <row r="479" customFormat="false" ht="15" hidden="false" customHeight="false" outlineLevel="0" collapsed="false">
      <c r="G479" s="20"/>
    </row>
    <row r="480" customFormat="false" ht="15" hidden="false" customHeight="false" outlineLevel="0" collapsed="false">
      <c r="G480" s="20"/>
    </row>
    <row r="481" customFormat="false" ht="15" hidden="false" customHeight="false" outlineLevel="0" collapsed="false">
      <c r="G481" s="20"/>
    </row>
    <row r="482" customFormat="false" ht="15" hidden="false" customHeight="false" outlineLevel="0" collapsed="false">
      <c r="G482" s="20"/>
    </row>
    <row r="483" customFormat="false" ht="15" hidden="false" customHeight="false" outlineLevel="0" collapsed="false">
      <c r="G483" s="20"/>
    </row>
    <row r="484" customFormat="false" ht="15" hidden="false" customHeight="false" outlineLevel="0" collapsed="false">
      <c r="G484" s="20"/>
    </row>
    <row r="485" customFormat="false" ht="15" hidden="false" customHeight="false" outlineLevel="0" collapsed="false">
      <c r="G485" s="20"/>
    </row>
    <row r="486" customFormat="false" ht="15" hidden="false" customHeight="false" outlineLevel="0" collapsed="false">
      <c r="G486" s="20"/>
    </row>
    <row r="487" customFormat="false" ht="15" hidden="false" customHeight="false" outlineLevel="0" collapsed="false">
      <c r="G487" s="20"/>
    </row>
    <row r="488" customFormat="false" ht="15" hidden="false" customHeight="false" outlineLevel="0" collapsed="false">
      <c r="G488" s="20"/>
    </row>
    <row r="489" customFormat="false" ht="15" hidden="false" customHeight="false" outlineLevel="0" collapsed="false">
      <c r="G489" s="20"/>
    </row>
    <row r="490" customFormat="false" ht="15" hidden="false" customHeight="false" outlineLevel="0" collapsed="false">
      <c r="G490" s="20"/>
    </row>
    <row r="491" customFormat="false" ht="15" hidden="false" customHeight="false" outlineLevel="0" collapsed="false">
      <c r="G491" s="20"/>
    </row>
    <row r="492" customFormat="false" ht="15" hidden="false" customHeight="false" outlineLevel="0" collapsed="false">
      <c r="G492" s="20"/>
    </row>
    <row r="493" customFormat="false" ht="15" hidden="false" customHeight="false" outlineLevel="0" collapsed="false">
      <c r="G493" s="20"/>
    </row>
    <row r="494" customFormat="false" ht="15" hidden="false" customHeight="false" outlineLevel="0" collapsed="false">
      <c r="G494" s="20"/>
    </row>
    <row r="495" customFormat="false" ht="15" hidden="false" customHeight="false" outlineLevel="0" collapsed="false">
      <c r="G495" s="20"/>
    </row>
    <row r="496" customFormat="false" ht="15" hidden="false" customHeight="false" outlineLevel="0" collapsed="false">
      <c r="G496" s="20"/>
    </row>
    <row r="497" customFormat="false" ht="15" hidden="false" customHeight="false" outlineLevel="0" collapsed="false">
      <c r="G497" s="20"/>
    </row>
    <row r="498" customFormat="false" ht="15" hidden="false" customHeight="false" outlineLevel="0" collapsed="false">
      <c r="G498" s="20"/>
    </row>
    <row r="499" customFormat="false" ht="15" hidden="false" customHeight="false" outlineLevel="0" collapsed="false">
      <c r="G499" s="20"/>
    </row>
    <row r="500" customFormat="false" ht="15" hidden="false" customHeight="false" outlineLevel="0" collapsed="false">
      <c r="G500" s="20"/>
    </row>
    <row r="501" customFormat="false" ht="15" hidden="false" customHeight="false" outlineLevel="0" collapsed="false">
      <c r="G501" s="20"/>
    </row>
    <row r="502" customFormat="false" ht="15" hidden="false" customHeight="false" outlineLevel="0" collapsed="false">
      <c r="G502" s="20"/>
    </row>
    <row r="503" customFormat="false" ht="15" hidden="false" customHeight="false" outlineLevel="0" collapsed="false">
      <c r="G503" s="20"/>
    </row>
    <row r="504" customFormat="false" ht="15" hidden="false" customHeight="false" outlineLevel="0" collapsed="false">
      <c r="G504" s="20"/>
    </row>
    <row r="505" customFormat="false" ht="15" hidden="false" customHeight="false" outlineLevel="0" collapsed="false">
      <c r="G505" s="20"/>
    </row>
    <row r="506" customFormat="false" ht="15" hidden="false" customHeight="false" outlineLevel="0" collapsed="false">
      <c r="G506" s="20"/>
    </row>
    <row r="507" customFormat="false" ht="15" hidden="false" customHeight="false" outlineLevel="0" collapsed="false">
      <c r="G507" s="20"/>
    </row>
    <row r="508" customFormat="false" ht="15" hidden="false" customHeight="false" outlineLevel="0" collapsed="false">
      <c r="G508" s="20"/>
    </row>
    <row r="509" customFormat="false" ht="15" hidden="false" customHeight="false" outlineLevel="0" collapsed="false">
      <c r="G509" s="20"/>
    </row>
    <row r="510" customFormat="false" ht="15" hidden="false" customHeight="false" outlineLevel="0" collapsed="false">
      <c r="G510" s="20"/>
    </row>
    <row r="511" customFormat="false" ht="15" hidden="false" customHeight="false" outlineLevel="0" collapsed="false">
      <c r="G511" s="20"/>
    </row>
    <row r="512" customFormat="false" ht="15" hidden="false" customHeight="false" outlineLevel="0" collapsed="false">
      <c r="G512" s="20"/>
    </row>
    <row r="513" customFormat="false" ht="15" hidden="false" customHeight="false" outlineLevel="0" collapsed="false">
      <c r="G513" s="20"/>
    </row>
    <row r="514" customFormat="false" ht="15" hidden="false" customHeight="false" outlineLevel="0" collapsed="false">
      <c r="G514" s="20"/>
    </row>
    <row r="515" customFormat="false" ht="15" hidden="false" customHeight="false" outlineLevel="0" collapsed="false">
      <c r="G515" s="20"/>
    </row>
    <row r="516" customFormat="false" ht="15" hidden="false" customHeight="false" outlineLevel="0" collapsed="false">
      <c r="G516" s="20"/>
    </row>
    <row r="517" customFormat="false" ht="15" hidden="false" customHeight="false" outlineLevel="0" collapsed="false">
      <c r="G517" s="20"/>
    </row>
    <row r="518" customFormat="false" ht="15" hidden="false" customHeight="false" outlineLevel="0" collapsed="false">
      <c r="G518" s="20"/>
    </row>
    <row r="519" customFormat="false" ht="15" hidden="false" customHeight="false" outlineLevel="0" collapsed="false">
      <c r="G519" s="20"/>
    </row>
    <row r="520" customFormat="false" ht="15" hidden="false" customHeight="false" outlineLevel="0" collapsed="false">
      <c r="G520" s="20"/>
    </row>
    <row r="521" customFormat="false" ht="15" hidden="false" customHeight="false" outlineLevel="0" collapsed="false">
      <c r="G521" s="20"/>
    </row>
    <row r="522" customFormat="false" ht="15" hidden="false" customHeight="false" outlineLevel="0" collapsed="false">
      <c r="G522" s="20"/>
    </row>
    <row r="523" customFormat="false" ht="15" hidden="false" customHeight="false" outlineLevel="0" collapsed="false">
      <c r="G523" s="20"/>
    </row>
    <row r="524" customFormat="false" ht="15" hidden="false" customHeight="false" outlineLevel="0" collapsed="false">
      <c r="G524" s="20"/>
    </row>
    <row r="525" customFormat="false" ht="15" hidden="false" customHeight="false" outlineLevel="0" collapsed="false">
      <c r="G525" s="20"/>
    </row>
    <row r="526" customFormat="false" ht="15" hidden="false" customHeight="false" outlineLevel="0" collapsed="false">
      <c r="G526" s="20"/>
    </row>
    <row r="527" customFormat="false" ht="15" hidden="false" customHeight="false" outlineLevel="0" collapsed="false">
      <c r="G527" s="20"/>
    </row>
    <row r="528" customFormat="false" ht="15" hidden="false" customHeight="false" outlineLevel="0" collapsed="false">
      <c r="G528" s="20"/>
    </row>
    <row r="529" customFormat="false" ht="15" hidden="false" customHeight="false" outlineLevel="0" collapsed="false">
      <c r="G529" s="20"/>
    </row>
    <row r="530" customFormat="false" ht="15" hidden="false" customHeight="false" outlineLevel="0" collapsed="false">
      <c r="G530" s="20"/>
    </row>
    <row r="531" customFormat="false" ht="15" hidden="false" customHeight="false" outlineLevel="0" collapsed="false">
      <c r="G531" s="20"/>
    </row>
    <row r="532" customFormat="false" ht="15" hidden="false" customHeight="false" outlineLevel="0" collapsed="false">
      <c r="G532" s="20"/>
    </row>
    <row r="533" customFormat="false" ht="15" hidden="false" customHeight="false" outlineLevel="0" collapsed="false">
      <c r="G533" s="20"/>
    </row>
    <row r="534" customFormat="false" ht="15" hidden="false" customHeight="false" outlineLevel="0" collapsed="false">
      <c r="G534" s="20"/>
    </row>
    <row r="535" customFormat="false" ht="15" hidden="false" customHeight="false" outlineLevel="0" collapsed="false">
      <c r="G535" s="20"/>
    </row>
    <row r="536" customFormat="false" ht="15" hidden="false" customHeight="false" outlineLevel="0" collapsed="false">
      <c r="G536" s="20"/>
    </row>
    <row r="537" customFormat="false" ht="15" hidden="false" customHeight="false" outlineLevel="0" collapsed="false">
      <c r="G537" s="20"/>
    </row>
    <row r="538" customFormat="false" ht="15" hidden="false" customHeight="false" outlineLevel="0" collapsed="false">
      <c r="G538" s="20"/>
    </row>
    <row r="539" customFormat="false" ht="15" hidden="false" customHeight="false" outlineLevel="0" collapsed="false">
      <c r="G539" s="20"/>
    </row>
    <row r="540" customFormat="false" ht="15" hidden="false" customHeight="false" outlineLevel="0" collapsed="false">
      <c r="G540" s="20"/>
    </row>
    <row r="541" customFormat="false" ht="15" hidden="false" customHeight="false" outlineLevel="0" collapsed="false">
      <c r="G541" s="20"/>
    </row>
    <row r="542" customFormat="false" ht="15" hidden="false" customHeight="false" outlineLevel="0" collapsed="false">
      <c r="G542" s="20"/>
    </row>
    <row r="543" customFormat="false" ht="15" hidden="false" customHeight="false" outlineLevel="0" collapsed="false">
      <c r="G543" s="20"/>
    </row>
    <row r="544" customFormat="false" ht="15" hidden="false" customHeight="false" outlineLevel="0" collapsed="false">
      <c r="G544" s="20"/>
    </row>
    <row r="545" customFormat="false" ht="15" hidden="false" customHeight="false" outlineLevel="0" collapsed="false">
      <c r="G545" s="20"/>
    </row>
    <row r="546" customFormat="false" ht="15" hidden="false" customHeight="false" outlineLevel="0" collapsed="false">
      <c r="G546" s="20"/>
    </row>
    <row r="547" customFormat="false" ht="15" hidden="false" customHeight="false" outlineLevel="0" collapsed="false">
      <c r="G547" s="20"/>
    </row>
    <row r="548" customFormat="false" ht="15" hidden="false" customHeight="false" outlineLevel="0" collapsed="false">
      <c r="G548" s="20"/>
    </row>
    <row r="549" customFormat="false" ht="15" hidden="false" customHeight="false" outlineLevel="0" collapsed="false">
      <c r="G549" s="20"/>
    </row>
    <row r="550" customFormat="false" ht="15" hidden="false" customHeight="false" outlineLevel="0" collapsed="false">
      <c r="G550" s="20"/>
    </row>
    <row r="551" customFormat="false" ht="15" hidden="false" customHeight="false" outlineLevel="0" collapsed="false">
      <c r="G551" s="20"/>
    </row>
    <row r="552" customFormat="false" ht="15" hidden="false" customHeight="false" outlineLevel="0" collapsed="false">
      <c r="G552" s="20"/>
    </row>
    <row r="553" customFormat="false" ht="15" hidden="false" customHeight="false" outlineLevel="0" collapsed="false">
      <c r="G553" s="20"/>
    </row>
    <row r="554" customFormat="false" ht="15" hidden="false" customHeight="false" outlineLevel="0" collapsed="false">
      <c r="G554" s="20"/>
    </row>
    <row r="555" customFormat="false" ht="15" hidden="false" customHeight="false" outlineLevel="0" collapsed="false">
      <c r="G555" s="20"/>
    </row>
    <row r="556" customFormat="false" ht="15" hidden="false" customHeight="false" outlineLevel="0" collapsed="false">
      <c r="G556" s="20"/>
    </row>
    <row r="557" customFormat="false" ht="15" hidden="false" customHeight="false" outlineLevel="0" collapsed="false">
      <c r="G557" s="20"/>
    </row>
    <row r="558" customFormat="false" ht="15" hidden="false" customHeight="false" outlineLevel="0" collapsed="false">
      <c r="G558" s="20"/>
    </row>
    <row r="559" customFormat="false" ht="15" hidden="false" customHeight="false" outlineLevel="0" collapsed="false">
      <c r="G559" s="20"/>
    </row>
    <row r="560" customFormat="false" ht="15" hidden="false" customHeight="false" outlineLevel="0" collapsed="false">
      <c r="G560" s="20"/>
    </row>
    <row r="561" customFormat="false" ht="15" hidden="false" customHeight="false" outlineLevel="0" collapsed="false">
      <c r="G561" s="20"/>
    </row>
    <row r="562" customFormat="false" ht="15" hidden="false" customHeight="false" outlineLevel="0" collapsed="false">
      <c r="G562" s="20"/>
    </row>
    <row r="563" customFormat="false" ht="15" hidden="false" customHeight="false" outlineLevel="0" collapsed="false">
      <c r="G563" s="20"/>
    </row>
    <row r="564" customFormat="false" ht="15" hidden="false" customHeight="false" outlineLevel="0" collapsed="false">
      <c r="G564" s="20"/>
    </row>
    <row r="565" customFormat="false" ht="15" hidden="false" customHeight="false" outlineLevel="0" collapsed="false">
      <c r="G565" s="20"/>
    </row>
    <row r="566" customFormat="false" ht="15" hidden="false" customHeight="false" outlineLevel="0" collapsed="false">
      <c r="G566" s="20"/>
    </row>
    <row r="567" customFormat="false" ht="15" hidden="false" customHeight="false" outlineLevel="0" collapsed="false">
      <c r="G567" s="20"/>
    </row>
    <row r="568" customFormat="false" ht="15" hidden="false" customHeight="false" outlineLevel="0" collapsed="false">
      <c r="G568" s="20"/>
    </row>
    <row r="569" customFormat="false" ht="15" hidden="false" customHeight="false" outlineLevel="0" collapsed="false">
      <c r="G569" s="20"/>
    </row>
    <row r="570" customFormat="false" ht="15" hidden="false" customHeight="false" outlineLevel="0" collapsed="false">
      <c r="G570" s="20"/>
    </row>
    <row r="571" customFormat="false" ht="15" hidden="false" customHeight="false" outlineLevel="0" collapsed="false">
      <c r="G571" s="20"/>
    </row>
    <row r="572" customFormat="false" ht="15" hidden="false" customHeight="false" outlineLevel="0" collapsed="false">
      <c r="G572" s="20"/>
    </row>
    <row r="573" customFormat="false" ht="15" hidden="false" customHeight="false" outlineLevel="0" collapsed="false">
      <c r="G573" s="20"/>
    </row>
    <row r="574" customFormat="false" ht="15" hidden="false" customHeight="false" outlineLevel="0" collapsed="false">
      <c r="G574" s="20"/>
    </row>
    <row r="575" customFormat="false" ht="15" hidden="false" customHeight="false" outlineLevel="0" collapsed="false">
      <c r="G575" s="20"/>
    </row>
    <row r="576" customFormat="false" ht="15" hidden="false" customHeight="false" outlineLevel="0" collapsed="false">
      <c r="G576" s="20"/>
    </row>
    <row r="577" customFormat="false" ht="15" hidden="false" customHeight="false" outlineLevel="0" collapsed="false">
      <c r="G577" s="20"/>
    </row>
    <row r="578" customFormat="false" ht="15" hidden="false" customHeight="false" outlineLevel="0" collapsed="false">
      <c r="G578" s="20"/>
    </row>
    <row r="579" customFormat="false" ht="15" hidden="false" customHeight="false" outlineLevel="0" collapsed="false">
      <c r="G579" s="20"/>
    </row>
    <row r="580" customFormat="false" ht="15" hidden="false" customHeight="false" outlineLevel="0" collapsed="false">
      <c r="G580" s="20"/>
    </row>
    <row r="581" customFormat="false" ht="15" hidden="false" customHeight="false" outlineLevel="0" collapsed="false">
      <c r="G581" s="20"/>
    </row>
    <row r="582" customFormat="false" ht="15" hidden="false" customHeight="false" outlineLevel="0" collapsed="false">
      <c r="G582" s="20"/>
    </row>
    <row r="583" customFormat="false" ht="15" hidden="false" customHeight="false" outlineLevel="0" collapsed="false">
      <c r="G583" s="20"/>
    </row>
    <row r="584" customFormat="false" ht="15" hidden="false" customHeight="false" outlineLevel="0" collapsed="false">
      <c r="G584" s="20"/>
    </row>
    <row r="585" customFormat="false" ht="15" hidden="false" customHeight="false" outlineLevel="0" collapsed="false">
      <c r="G585" s="20"/>
    </row>
    <row r="586" customFormat="false" ht="15" hidden="false" customHeight="false" outlineLevel="0" collapsed="false">
      <c r="G586" s="20"/>
    </row>
    <row r="587" customFormat="false" ht="15" hidden="false" customHeight="false" outlineLevel="0" collapsed="false">
      <c r="G587" s="20"/>
    </row>
    <row r="588" customFormat="false" ht="15" hidden="false" customHeight="false" outlineLevel="0" collapsed="false">
      <c r="G588" s="20"/>
    </row>
    <row r="589" customFormat="false" ht="15" hidden="false" customHeight="false" outlineLevel="0" collapsed="false">
      <c r="G589" s="20"/>
    </row>
    <row r="590" customFormat="false" ht="15" hidden="false" customHeight="false" outlineLevel="0" collapsed="false">
      <c r="G590" s="20"/>
    </row>
    <row r="591" customFormat="false" ht="15" hidden="false" customHeight="false" outlineLevel="0" collapsed="false">
      <c r="G591" s="20"/>
    </row>
    <row r="592" customFormat="false" ht="15" hidden="false" customHeight="false" outlineLevel="0" collapsed="false">
      <c r="G592" s="20"/>
    </row>
    <row r="593" customFormat="false" ht="15" hidden="false" customHeight="false" outlineLevel="0" collapsed="false">
      <c r="G593" s="20"/>
    </row>
    <row r="594" customFormat="false" ht="15" hidden="false" customHeight="false" outlineLevel="0" collapsed="false">
      <c r="G594" s="20"/>
    </row>
    <row r="595" customFormat="false" ht="15" hidden="false" customHeight="false" outlineLevel="0" collapsed="false">
      <c r="G595" s="20"/>
    </row>
    <row r="596" customFormat="false" ht="15" hidden="false" customHeight="false" outlineLevel="0" collapsed="false">
      <c r="G596" s="20"/>
    </row>
    <row r="597" customFormat="false" ht="15" hidden="false" customHeight="false" outlineLevel="0" collapsed="false">
      <c r="G597" s="20"/>
    </row>
    <row r="598" customFormat="false" ht="15" hidden="false" customHeight="false" outlineLevel="0" collapsed="false">
      <c r="G598" s="20"/>
    </row>
    <row r="599" customFormat="false" ht="15" hidden="false" customHeight="false" outlineLevel="0" collapsed="false">
      <c r="G599" s="20"/>
    </row>
    <row r="600" customFormat="false" ht="15" hidden="false" customHeight="false" outlineLevel="0" collapsed="false">
      <c r="G600" s="20"/>
    </row>
    <row r="601" customFormat="false" ht="15" hidden="false" customHeight="false" outlineLevel="0" collapsed="false">
      <c r="G601" s="20"/>
    </row>
    <row r="602" customFormat="false" ht="15" hidden="false" customHeight="false" outlineLevel="0" collapsed="false">
      <c r="G602" s="20"/>
    </row>
    <row r="603" customFormat="false" ht="15" hidden="false" customHeight="false" outlineLevel="0" collapsed="false">
      <c r="G603" s="20"/>
    </row>
    <row r="604" customFormat="false" ht="15" hidden="false" customHeight="false" outlineLevel="0" collapsed="false">
      <c r="G604" s="20"/>
    </row>
    <row r="605" customFormat="false" ht="15" hidden="false" customHeight="false" outlineLevel="0" collapsed="false">
      <c r="G605" s="20"/>
    </row>
    <row r="606" customFormat="false" ht="15" hidden="false" customHeight="false" outlineLevel="0" collapsed="false">
      <c r="G606" s="20"/>
    </row>
    <row r="607" customFormat="false" ht="15" hidden="false" customHeight="false" outlineLevel="0" collapsed="false">
      <c r="G607" s="20"/>
    </row>
    <row r="608" customFormat="false" ht="15" hidden="false" customHeight="false" outlineLevel="0" collapsed="false">
      <c r="G608" s="20"/>
    </row>
    <row r="609" customFormat="false" ht="15" hidden="false" customHeight="false" outlineLevel="0" collapsed="false">
      <c r="G609" s="20"/>
    </row>
    <row r="610" customFormat="false" ht="15" hidden="false" customHeight="false" outlineLevel="0" collapsed="false">
      <c r="G610" s="20"/>
    </row>
    <row r="611" customFormat="false" ht="15" hidden="false" customHeight="false" outlineLevel="0" collapsed="false">
      <c r="G611" s="20"/>
    </row>
    <row r="612" customFormat="false" ht="15" hidden="false" customHeight="false" outlineLevel="0" collapsed="false">
      <c r="G612" s="20"/>
    </row>
    <row r="613" customFormat="false" ht="15" hidden="false" customHeight="false" outlineLevel="0" collapsed="false">
      <c r="G613" s="20"/>
    </row>
    <row r="614" customFormat="false" ht="15" hidden="false" customHeight="false" outlineLevel="0" collapsed="false">
      <c r="G614" s="20"/>
    </row>
    <row r="615" customFormat="false" ht="15" hidden="false" customHeight="false" outlineLevel="0" collapsed="false">
      <c r="G615" s="20"/>
    </row>
    <row r="616" customFormat="false" ht="15" hidden="false" customHeight="false" outlineLevel="0" collapsed="false">
      <c r="G616" s="20"/>
    </row>
    <row r="617" customFormat="false" ht="15" hidden="false" customHeight="false" outlineLevel="0" collapsed="false">
      <c r="G617" s="20"/>
    </row>
    <row r="618" customFormat="false" ht="15" hidden="false" customHeight="false" outlineLevel="0" collapsed="false">
      <c r="G618" s="20"/>
    </row>
    <row r="619" customFormat="false" ht="15" hidden="false" customHeight="false" outlineLevel="0" collapsed="false">
      <c r="G619" s="20"/>
    </row>
    <row r="620" customFormat="false" ht="15" hidden="false" customHeight="false" outlineLevel="0" collapsed="false">
      <c r="G620" s="20"/>
    </row>
    <row r="621" customFormat="false" ht="15" hidden="false" customHeight="false" outlineLevel="0" collapsed="false">
      <c r="G621" s="20"/>
    </row>
    <row r="622" customFormat="false" ht="15" hidden="false" customHeight="false" outlineLevel="0" collapsed="false">
      <c r="G622" s="20"/>
    </row>
    <row r="623" customFormat="false" ht="15" hidden="false" customHeight="false" outlineLevel="0" collapsed="false">
      <c r="G623" s="20"/>
    </row>
    <row r="624" customFormat="false" ht="15" hidden="false" customHeight="false" outlineLevel="0" collapsed="false">
      <c r="G624" s="20"/>
    </row>
    <row r="625" customFormat="false" ht="15" hidden="false" customHeight="false" outlineLevel="0" collapsed="false">
      <c r="G625" s="20"/>
    </row>
    <row r="626" customFormat="false" ht="15" hidden="false" customHeight="false" outlineLevel="0" collapsed="false">
      <c r="G626" s="20"/>
    </row>
    <row r="627" customFormat="false" ht="15" hidden="false" customHeight="false" outlineLevel="0" collapsed="false">
      <c r="G627" s="20"/>
    </row>
    <row r="628" customFormat="false" ht="15" hidden="false" customHeight="false" outlineLevel="0" collapsed="false">
      <c r="G628" s="20"/>
    </row>
    <row r="629" customFormat="false" ht="15" hidden="false" customHeight="false" outlineLevel="0" collapsed="false">
      <c r="G629" s="20"/>
    </row>
    <row r="630" customFormat="false" ht="15" hidden="false" customHeight="false" outlineLevel="0" collapsed="false">
      <c r="G630" s="20"/>
    </row>
    <row r="631" customFormat="false" ht="15" hidden="false" customHeight="false" outlineLevel="0" collapsed="false">
      <c r="G631" s="20"/>
    </row>
    <row r="632" customFormat="false" ht="15" hidden="false" customHeight="false" outlineLevel="0" collapsed="false">
      <c r="G632" s="20"/>
    </row>
    <row r="633" customFormat="false" ht="15" hidden="false" customHeight="false" outlineLevel="0" collapsed="false">
      <c r="G633" s="20"/>
    </row>
    <row r="634" customFormat="false" ht="15" hidden="false" customHeight="false" outlineLevel="0" collapsed="false">
      <c r="G634" s="20"/>
    </row>
    <row r="635" customFormat="false" ht="15" hidden="false" customHeight="false" outlineLevel="0" collapsed="false">
      <c r="G635" s="20"/>
    </row>
    <row r="636" customFormat="false" ht="15" hidden="false" customHeight="false" outlineLevel="0" collapsed="false">
      <c r="G636" s="20"/>
    </row>
    <row r="637" customFormat="false" ht="15" hidden="false" customHeight="false" outlineLevel="0" collapsed="false">
      <c r="G637" s="20"/>
    </row>
    <row r="638" customFormat="false" ht="15" hidden="false" customHeight="false" outlineLevel="0" collapsed="false">
      <c r="G638" s="20"/>
    </row>
    <row r="639" customFormat="false" ht="15" hidden="false" customHeight="false" outlineLevel="0" collapsed="false">
      <c r="G639" s="20"/>
    </row>
    <row r="640" customFormat="false" ht="15" hidden="false" customHeight="false" outlineLevel="0" collapsed="false">
      <c r="G640" s="20"/>
    </row>
    <row r="641" customFormat="false" ht="15" hidden="false" customHeight="false" outlineLevel="0" collapsed="false">
      <c r="G641" s="20"/>
    </row>
    <row r="642" customFormat="false" ht="15" hidden="false" customHeight="false" outlineLevel="0" collapsed="false">
      <c r="G642" s="20"/>
    </row>
    <row r="643" customFormat="false" ht="15" hidden="false" customHeight="false" outlineLevel="0" collapsed="false">
      <c r="G643" s="20"/>
    </row>
    <row r="644" customFormat="false" ht="15" hidden="false" customHeight="false" outlineLevel="0" collapsed="false">
      <c r="G644" s="20"/>
    </row>
    <row r="645" customFormat="false" ht="15" hidden="false" customHeight="false" outlineLevel="0" collapsed="false">
      <c r="G645" s="20"/>
    </row>
    <row r="646" customFormat="false" ht="15" hidden="false" customHeight="false" outlineLevel="0" collapsed="false">
      <c r="G646" s="20"/>
    </row>
    <row r="647" customFormat="false" ht="15" hidden="false" customHeight="false" outlineLevel="0" collapsed="false">
      <c r="G647" s="20"/>
    </row>
    <row r="648" customFormat="false" ht="15" hidden="false" customHeight="false" outlineLevel="0" collapsed="false">
      <c r="G648" s="20"/>
    </row>
    <row r="649" customFormat="false" ht="15" hidden="false" customHeight="false" outlineLevel="0" collapsed="false">
      <c r="G649" s="20"/>
    </row>
    <row r="650" customFormat="false" ht="15" hidden="false" customHeight="false" outlineLevel="0" collapsed="false">
      <c r="G650" s="20"/>
    </row>
    <row r="651" customFormat="false" ht="15" hidden="false" customHeight="false" outlineLevel="0" collapsed="false">
      <c r="G651" s="20"/>
    </row>
    <row r="652" customFormat="false" ht="15" hidden="false" customHeight="false" outlineLevel="0" collapsed="false">
      <c r="G652" s="20"/>
    </row>
    <row r="653" customFormat="false" ht="15" hidden="false" customHeight="false" outlineLevel="0" collapsed="false">
      <c r="G653" s="20"/>
    </row>
    <row r="654" customFormat="false" ht="15" hidden="false" customHeight="false" outlineLevel="0" collapsed="false">
      <c r="G654" s="20"/>
    </row>
    <row r="655" customFormat="false" ht="15" hidden="false" customHeight="false" outlineLevel="0" collapsed="false">
      <c r="G655" s="20"/>
    </row>
    <row r="656" customFormat="false" ht="15" hidden="false" customHeight="false" outlineLevel="0" collapsed="false">
      <c r="G656" s="20"/>
    </row>
    <row r="657" customFormat="false" ht="15" hidden="false" customHeight="false" outlineLevel="0" collapsed="false">
      <c r="G657" s="20"/>
    </row>
    <row r="658" customFormat="false" ht="15" hidden="false" customHeight="false" outlineLevel="0" collapsed="false">
      <c r="G658" s="20"/>
    </row>
    <row r="659" customFormat="false" ht="15" hidden="false" customHeight="false" outlineLevel="0" collapsed="false">
      <c r="G659" s="20"/>
    </row>
    <row r="660" customFormat="false" ht="15" hidden="false" customHeight="false" outlineLevel="0" collapsed="false">
      <c r="G660" s="20"/>
    </row>
    <row r="661" customFormat="false" ht="15" hidden="false" customHeight="false" outlineLevel="0" collapsed="false">
      <c r="G661" s="20"/>
    </row>
    <row r="662" customFormat="false" ht="15" hidden="false" customHeight="false" outlineLevel="0" collapsed="false">
      <c r="G662" s="20"/>
    </row>
    <row r="663" customFormat="false" ht="15" hidden="false" customHeight="false" outlineLevel="0" collapsed="false">
      <c r="G663" s="20"/>
    </row>
    <row r="664" customFormat="false" ht="15" hidden="false" customHeight="false" outlineLevel="0" collapsed="false">
      <c r="G664" s="20"/>
    </row>
    <row r="665" customFormat="false" ht="15" hidden="false" customHeight="false" outlineLevel="0" collapsed="false">
      <c r="G665" s="20"/>
    </row>
    <row r="666" customFormat="false" ht="15" hidden="false" customHeight="false" outlineLevel="0" collapsed="false">
      <c r="G666" s="20"/>
    </row>
    <row r="667" customFormat="false" ht="15" hidden="false" customHeight="false" outlineLevel="0" collapsed="false">
      <c r="G667" s="20"/>
    </row>
    <row r="668" customFormat="false" ht="15" hidden="false" customHeight="false" outlineLevel="0" collapsed="false">
      <c r="G668" s="20"/>
    </row>
    <row r="669" customFormat="false" ht="15" hidden="false" customHeight="false" outlineLevel="0" collapsed="false">
      <c r="G669" s="20"/>
    </row>
    <row r="670" customFormat="false" ht="15" hidden="false" customHeight="false" outlineLevel="0" collapsed="false">
      <c r="G670" s="20"/>
    </row>
    <row r="671" customFormat="false" ht="15" hidden="false" customHeight="false" outlineLevel="0" collapsed="false">
      <c r="G671" s="20"/>
    </row>
    <row r="672" customFormat="false" ht="15" hidden="false" customHeight="false" outlineLevel="0" collapsed="false">
      <c r="G672" s="20"/>
    </row>
    <row r="673" customFormat="false" ht="15" hidden="false" customHeight="false" outlineLevel="0" collapsed="false">
      <c r="G673" s="20"/>
    </row>
    <row r="674" customFormat="false" ht="15" hidden="false" customHeight="false" outlineLevel="0" collapsed="false">
      <c r="G674" s="20"/>
    </row>
    <row r="675" customFormat="false" ht="15" hidden="false" customHeight="false" outlineLevel="0" collapsed="false">
      <c r="G675" s="20"/>
    </row>
    <row r="676" customFormat="false" ht="15" hidden="false" customHeight="false" outlineLevel="0" collapsed="false">
      <c r="G676" s="20"/>
    </row>
    <row r="677" customFormat="false" ht="15" hidden="false" customHeight="false" outlineLevel="0" collapsed="false">
      <c r="G677" s="20"/>
    </row>
    <row r="678" customFormat="false" ht="15" hidden="false" customHeight="false" outlineLevel="0" collapsed="false">
      <c r="G678" s="20"/>
    </row>
    <row r="679" customFormat="false" ht="15" hidden="false" customHeight="false" outlineLevel="0" collapsed="false">
      <c r="G679" s="20"/>
    </row>
    <row r="680" customFormat="false" ht="15" hidden="false" customHeight="false" outlineLevel="0" collapsed="false">
      <c r="G680" s="20"/>
    </row>
    <row r="681" customFormat="false" ht="15" hidden="false" customHeight="false" outlineLevel="0" collapsed="false">
      <c r="G681" s="20"/>
    </row>
    <row r="682" customFormat="false" ht="15" hidden="false" customHeight="false" outlineLevel="0" collapsed="false">
      <c r="G682" s="20"/>
    </row>
    <row r="683" customFormat="false" ht="15" hidden="false" customHeight="false" outlineLevel="0" collapsed="false">
      <c r="G683" s="20"/>
    </row>
    <row r="684" customFormat="false" ht="15" hidden="false" customHeight="false" outlineLevel="0" collapsed="false">
      <c r="G684" s="20"/>
    </row>
    <row r="685" customFormat="false" ht="15" hidden="false" customHeight="false" outlineLevel="0" collapsed="false">
      <c r="G685" s="20"/>
    </row>
    <row r="686" customFormat="false" ht="15" hidden="false" customHeight="false" outlineLevel="0" collapsed="false">
      <c r="G686" s="20"/>
    </row>
    <row r="687" customFormat="false" ht="15" hidden="false" customHeight="false" outlineLevel="0" collapsed="false">
      <c r="G687" s="20"/>
    </row>
    <row r="688" customFormat="false" ht="15" hidden="false" customHeight="false" outlineLevel="0" collapsed="false">
      <c r="G688" s="20"/>
    </row>
    <row r="689" customFormat="false" ht="15" hidden="false" customHeight="false" outlineLevel="0" collapsed="false">
      <c r="G689" s="20"/>
    </row>
    <row r="690" customFormat="false" ht="15" hidden="false" customHeight="false" outlineLevel="0" collapsed="false">
      <c r="G690" s="20"/>
    </row>
    <row r="691" customFormat="false" ht="15" hidden="false" customHeight="false" outlineLevel="0" collapsed="false">
      <c r="G691" s="20"/>
    </row>
    <row r="692" customFormat="false" ht="15" hidden="false" customHeight="false" outlineLevel="0" collapsed="false">
      <c r="G692" s="20"/>
    </row>
    <row r="693" customFormat="false" ht="15" hidden="false" customHeight="false" outlineLevel="0" collapsed="false">
      <c r="G693" s="20"/>
    </row>
    <row r="694" customFormat="false" ht="15" hidden="false" customHeight="false" outlineLevel="0" collapsed="false">
      <c r="G694" s="20"/>
    </row>
    <row r="695" customFormat="false" ht="15" hidden="false" customHeight="false" outlineLevel="0" collapsed="false">
      <c r="G695" s="20"/>
    </row>
    <row r="696" customFormat="false" ht="15" hidden="false" customHeight="false" outlineLevel="0" collapsed="false">
      <c r="G696" s="20"/>
    </row>
    <row r="697" customFormat="false" ht="15" hidden="false" customHeight="false" outlineLevel="0" collapsed="false">
      <c r="G697" s="20"/>
    </row>
    <row r="698" customFormat="false" ht="15" hidden="false" customHeight="false" outlineLevel="0" collapsed="false">
      <c r="G698" s="20"/>
    </row>
    <row r="699" customFormat="false" ht="15" hidden="false" customHeight="false" outlineLevel="0" collapsed="false">
      <c r="G699" s="20"/>
    </row>
    <row r="700" customFormat="false" ht="15" hidden="false" customHeight="false" outlineLevel="0" collapsed="false">
      <c r="G700" s="20"/>
    </row>
    <row r="701" customFormat="false" ht="15" hidden="false" customHeight="false" outlineLevel="0" collapsed="false">
      <c r="G701" s="20"/>
    </row>
    <row r="702" customFormat="false" ht="15" hidden="false" customHeight="false" outlineLevel="0" collapsed="false">
      <c r="G702" s="20"/>
    </row>
    <row r="703" customFormat="false" ht="15" hidden="false" customHeight="false" outlineLevel="0" collapsed="false">
      <c r="G703" s="20"/>
    </row>
    <row r="704" customFormat="false" ht="15" hidden="false" customHeight="false" outlineLevel="0" collapsed="false">
      <c r="G704" s="20"/>
    </row>
    <row r="705" customFormat="false" ht="15" hidden="false" customHeight="false" outlineLevel="0" collapsed="false">
      <c r="G705" s="20"/>
    </row>
    <row r="706" customFormat="false" ht="15" hidden="false" customHeight="false" outlineLevel="0" collapsed="false">
      <c r="G706" s="20"/>
    </row>
    <row r="707" customFormat="false" ht="15" hidden="false" customHeight="false" outlineLevel="0" collapsed="false">
      <c r="G707" s="20"/>
    </row>
    <row r="708" customFormat="false" ht="15" hidden="false" customHeight="false" outlineLevel="0" collapsed="false">
      <c r="G708" s="20"/>
    </row>
    <row r="709" customFormat="false" ht="15" hidden="false" customHeight="false" outlineLevel="0" collapsed="false">
      <c r="G709" s="20"/>
    </row>
    <row r="710" customFormat="false" ht="15" hidden="false" customHeight="false" outlineLevel="0" collapsed="false">
      <c r="G710" s="20"/>
    </row>
    <row r="711" customFormat="false" ht="15" hidden="false" customHeight="false" outlineLevel="0" collapsed="false">
      <c r="G711" s="20"/>
    </row>
    <row r="712" customFormat="false" ht="15" hidden="false" customHeight="false" outlineLevel="0" collapsed="false">
      <c r="G712" s="20"/>
    </row>
    <row r="713" customFormat="false" ht="15" hidden="false" customHeight="false" outlineLevel="0" collapsed="false">
      <c r="G713" s="20"/>
    </row>
    <row r="714" customFormat="false" ht="15" hidden="false" customHeight="false" outlineLevel="0" collapsed="false">
      <c r="G714" s="20"/>
    </row>
    <row r="715" customFormat="false" ht="15" hidden="false" customHeight="false" outlineLevel="0" collapsed="false">
      <c r="G715" s="20"/>
    </row>
    <row r="716" customFormat="false" ht="15" hidden="false" customHeight="false" outlineLevel="0" collapsed="false">
      <c r="G716" s="20"/>
    </row>
    <row r="717" customFormat="false" ht="15" hidden="false" customHeight="false" outlineLevel="0" collapsed="false">
      <c r="G717" s="20"/>
    </row>
    <row r="718" customFormat="false" ht="15" hidden="false" customHeight="false" outlineLevel="0" collapsed="false">
      <c r="G718" s="20"/>
    </row>
    <row r="719" customFormat="false" ht="15" hidden="false" customHeight="false" outlineLevel="0" collapsed="false">
      <c r="G719" s="20"/>
    </row>
    <row r="720" customFormat="false" ht="15" hidden="false" customHeight="false" outlineLevel="0" collapsed="false">
      <c r="G720" s="20"/>
    </row>
    <row r="721" customFormat="false" ht="15" hidden="false" customHeight="false" outlineLevel="0" collapsed="false">
      <c r="G721" s="20"/>
    </row>
    <row r="722" customFormat="false" ht="15" hidden="false" customHeight="false" outlineLevel="0" collapsed="false">
      <c r="G722" s="20"/>
    </row>
    <row r="723" customFormat="false" ht="15" hidden="false" customHeight="false" outlineLevel="0" collapsed="false">
      <c r="G723" s="20"/>
    </row>
    <row r="724" customFormat="false" ht="15" hidden="false" customHeight="false" outlineLevel="0" collapsed="false">
      <c r="G724" s="20"/>
    </row>
    <row r="725" customFormat="false" ht="15" hidden="false" customHeight="false" outlineLevel="0" collapsed="false">
      <c r="G725" s="20"/>
    </row>
    <row r="726" customFormat="false" ht="15" hidden="false" customHeight="false" outlineLevel="0" collapsed="false">
      <c r="G726" s="20"/>
    </row>
    <row r="727" customFormat="false" ht="15" hidden="false" customHeight="false" outlineLevel="0" collapsed="false">
      <c r="G727" s="20"/>
    </row>
    <row r="728" customFormat="false" ht="15" hidden="false" customHeight="false" outlineLevel="0" collapsed="false">
      <c r="G728" s="20"/>
    </row>
    <row r="729" customFormat="false" ht="15" hidden="false" customHeight="false" outlineLevel="0" collapsed="false">
      <c r="G729" s="20"/>
    </row>
    <row r="730" customFormat="false" ht="15" hidden="false" customHeight="false" outlineLevel="0" collapsed="false">
      <c r="G730" s="20"/>
    </row>
    <row r="731" customFormat="false" ht="15" hidden="false" customHeight="false" outlineLevel="0" collapsed="false">
      <c r="G731" s="20"/>
    </row>
    <row r="732" customFormat="false" ht="15" hidden="false" customHeight="false" outlineLevel="0" collapsed="false">
      <c r="G732" s="20"/>
    </row>
    <row r="733" customFormat="false" ht="15" hidden="false" customHeight="false" outlineLevel="0" collapsed="false">
      <c r="G733" s="20"/>
    </row>
    <row r="734" customFormat="false" ht="15" hidden="false" customHeight="false" outlineLevel="0" collapsed="false">
      <c r="G734" s="20"/>
    </row>
    <row r="735" customFormat="false" ht="15" hidden="false" customHeight="false" outlineLevel="0" collapsed="false">
      <c r="G735" s="20"/>
    </row>
    <row r="736" customFormat="false" ht="15" hidden="false" customHeight="false" outlineLevel="0" collapsed="false">
      <c r="G736" s="20"/>
    </row>
    <row r="737" customFormat="false" ht="15" hidden="false" customHeight="false" outlineLevel="0" collapsed="false">
      <c r="G737" s="20"/>
    </row>
    <row r="738" customFormat="false" ht="15" hidden="false" customHeight="false" outlineLevel="0" collapsed="false">
      <c r="G738" s="20"/>
    </row>
    <row r="739" customFormat="false" ht="15" hidden="false" customHeight="false" outlineLevel="0" collapsed="false">
      <c r="G739" s="20"/>
    </row>
    <row r="740" customFormat="false" ht="15" hidden="false" customHeight="false" outlineLevel="0" collapsed="false">
      <c r="G740" s="20"/>
    </row>
    <row r="741" customFormat="false" ht="15" hidden="false" customHeight="false" outlineLevel="0" collapsed="false">
      <c r="G741" s="20"/>
    </row>
    <row r="742" customFormat="false" ht="15" hidden="false" customHeight="false" outlineLevel="0" collapsed="false">
      <c r="G742" s="20"/>
    </row>
    <row r="743" customFormat="false" ht="15" hidden="false" customHeight="false" outlineLevel="0" collapsed="false">
      <c r="G743" s="20"/>
    </row>
    <row r="744" customFormat="false" ht="15" hidden="false" customHeight="false" outlineLevel="0" collapsed="false">
      <c r="G744" s="20"/>
    </row>
    <row r="745" customFormat="false" ht="15" hidden="false" customHeight="false" outlineLevel="0" collapsed="false">
      <c r="G745" s="20"/>
    </row>
    <row r="746" customFormat="false" ht="15" hidden="false" customHeight="false" outlineLevel="0" collapsed="false">
      <c r="G746" s="20"/>
    </row>
    <row r="747" customFormat="false" ht="15" hidden="false" customHeight="false" outlineLevel="0" collapsed="false">
      <c r="G747" s="20"/>
    </row>
    <row r="748" customFormat="false" ht="15" hidden="false" customHeight="false" outlineLevel="0" collapsed="false">
      <c r="G748" s="20"/>
    </row>
    <row r="749" customFormat="false" ht="15" hidden="false" customHeight="false" outlineLevel="0" collapsed="false">
      <c r="G749" s="20"/>
    </row>
    <row r="750" customFormat="false" ht="15" hidden="false" customHeight="false" outlineLevel="0" collapsed="false">
      <c r="G750" s="20"/>
    </row>
    <row r="751" customFormat="false" ht="15" hidden="false" customHeight="false" outlineLevel="0" collapsed="false">
      <c r="G751" s="20"/>
    </row>
    <row r="752" customFormat="false" ht="15" hidden="false" customHeight="false" outlineLevel="0" collapsed="false">
      <c r="G752" s="20"/>
    </row>
    <row r="753" customFormat="false" ht="15" hidden="false" customHeight="false" outlineLevel="0" collapsed="false">
      <c r="G753" s="20"/>
    </row>
    <row r="754" customFormat="false" ht="15" hidden="false" customHeight="false" outlineLevel="0" collapsed="false">
      <c r="G754" s="20"/>
    </row>
    <row r="755" customFormat="false" ht="15" hidden="false" customHeight="false" outlineLevel="0" collapsed="false">
      <c r="G755" s="20"/>
    </row>
    <row r="756" customFormat="false" ht="15" hidden="false" customHeight="false" outlineLevel="0" collapsed="false">
      <c r="G756" s="20"/>
    </row>
    <row r="757" customFormat="false" ht="15" hidden="false" customHeight="false" outlineLevel="0" collapsed="false">
      <c r="G757" s="20"/>
    </row>
    <row r="758" customFormat="false" ht="15" hidden="false" customHeight="false" outlineLevel="0" collapsed="false">
      <c r="G758" s="20"/>
    </row>
    <row r="759" customFormat="false" ht="15" hidden="false" customHeight="false" outlineLevel="0" collapsed="false">
      <c r="G759" s="20"/>
    </row>
    <row r="760" customFormat="false" ht="15" hidden="false" customHeight="false" outlineLevel="0" collapsed="false">
      <c r="G760" s="20"/>
    </row>
    <row r="761" customFormat="false" ht="15" hidden="false" customHeight="false" outlineLevel="0" collapsed="false">
      <c r="G761" s="20"/>
    </row>
    <row r="762" customFormat="false" ht="15" hidden="false" customHeight="false" outlineLevel="0" collapsed="false">
      <c r="G762" s="20"/>
    </row>
    <row r="763" customFormat="false" ht="15" hidden="false" customHeight="false" outlineLevel="0" collapsed="false">
      <c r="G763" s="20"/>
    </row>
    <row r="764" customFormat="false" ht="15" hidden="false" customHeight="false" outlineLevel="0" collapsed="false">
      <c r="G764" s="20"/>
    </row>
    <row r="765" customFormat="false" ht="15" hidden="false" customHeight="false" outlineLevel="0" collapsed="false">
      <c r="G765" s="20"/>
    </row>
    <row r="766" customFormat="false" ht="15" hidden="false" customHeight="false" outlineLevel="0" collapsed="false">
      <c r="G766" s="20"/>
    </row>
    <row r="767" customFormat="false" ht="15" hidden="false" customHeight="false" outlineLevel="0" collapsed="false">
      <c r="G767" s="20"/>
    </row>
    <row r="768" customFormat="false" ht="15" hidden="false" customHeight="false" outlineLevel="0" collapsed="false">
      <c r="G768" s="20"/>
    </row>
    <row r="769" customFormat="false" ht="15" hidden="false" customHeight="false" outlineLevel="0" collapsed="false">
      <c r="G769" s="20"/>
    </row>
    <row r="770" customFormat="false" ht="15" hidden="false" customHeight="false" outlineLevel="0" collapsed="false">
      <c r="G770" s="20"/>
    </row>
    <row r="771" customFormat="false" ht="15" hidden="false" customHeight="false" outlineLevel="0" collapsed="false">
      <c r="G771" s="20"/>
    </row>
    <row r="772" customFormat="false" ht="15" hidden="false" customHeight="false" outlineLevel="0" collapsed="false">
      <c r="G772" s="20"/>
    </row>
    <row r="773" customFormat="false" ht="15" hidden="false" customHeight="false" outlineLevel="0" collapsed="false">
      <c r="G773" s="20"/>
    </row>
    <row r="774" customFormat="false" ht="15" hidden="false" customHeight="false" outlineLevel="0" collapsed="false">
      <c r="G774" s="20"/>
    </row>
    <row r="775" customFormat="false" ht="15" hidden="false" customHeight="false" outlineLevel="0" collapsed="false">
      <c r="G775" s="20"/>
    </row>
    <row r="776" customFormat="false" ht="15" hidden="false" customHeight="false" outlineLevel="0" collapsed="false">
      <c r="G776" s="20"/>
    </row>
    <row r="777" customFormat="false" ht="15" hidden="false" customHeight="false" outlineLevel="0" collapsed="false">
      <c r="G777" s="20"/>
    </row>
    <row r="778" customFormat="false" ht="15" hidden="false" customHeight="false" outlineLevel="0" collapsed="false">
      <c r="G778" s="20"/>
    </row>
    <row r="779" customFormat="false" ht="15" hidden="false" customHeight="false" outlineLevel="0" collapsed="false">
      <c r="G779" s="20"/>
    </row>
    <row r="780" customFormat="false" ht="15" hidden="false" customHeight="false" outlineLevel="0" collapsed="false">
      <c r="G780" s="20"/>
    </row>
    <row r="781" customFormat="false" ht="15" hidden="false" customHeight="false" outlineLevel="0" collapsed="false">
      <c r="G781" s="20"/>
    </row>
    <row r="782" customFormat="false" ht="15" hidden="false" customHeight="false" outlineLevel="0" collapsed="false">
      <c r="G782" s="20"/>
    </row>
    <row r="783" customFormat="false" ht="15" hidden="false" customHeight="false" outlineLevel="0" collapsed="false">
      <c r="G783" s="20"/>
    </row>
    <row r="784" customFormat="false" ht="15" hidden="false" customHeight="false" outlineLevel="0" collapsed="false">
      <c r="G784" s="20"/>
    </row>
    <row r="785" customFormat="false" ht="15" hidden="false" customHeight="false" outlineLevel="0" collapsed="false">
      <c r="G785" s="20"/>
    </row>
    <row r="786" customFormat="false" ht="15" hidden="false" customHeight="false" outlineLevel="0" collapsed="false">
      <c r="G786" s="20"/>
    </row>
    <row r="787" customFormat="false" ht="15" hidden="false" customHeight="false" outlineLevel="0" collapsed="false">
      <c r="G787" s="20"/>
    </row>
    <row r="788" customFormat="false" ht="15" hidden="false" customHeight="false" outlineLevel="0" collapsed="false">
      <c r="G788" s="20"/>
    </row>
    <row r="789" customFormat="false" ht="15" hidden="false" customHeight="false" outlineLevel="0" collapsed="false">
      <c r="G789" s="20"/>
    </row>
    <row r="790" customFormat="false" ht="15" hidden="false" customHeight="false" outlineLevel="0" collapsed="false">
      <c r="G790" s="20"/>
    </row>
    <row r="791" customFormat="false" ht="15" hidden="false" customHeight="false" outlineLevel="0" collapsed="false">
      <c r="G791" s="20"/>
    </row>
    <row r="792" customFormat="false" ht="15" hidden="false" customHeight="false" outlineLevel="0" collapsed="false">
      <c r="G792" s="20"/>
    </row>
    <row r="793" customFormat="false" ht="15" hidden="false" customHeight="false" outlineLevel="0" collapsed="false">
      <c r="G793" s="20"/>
    </row>
    <row r="794" customFormat="false" ht="15" hidden="false" customHeight="false" outlineLevel="0" collapsed="false">
      <c r="G794" s="20"/>
    </row>
    <row r="795" customFormat="false" ht="15" hidden="false" customHeight="false" outlineLevel="0" collapsed="false">
      <c r="G795" s="20"/>
    </row>
    <row r="796" customFormat="false" ht="15" hidden="false" customHeight="false" outlineLevel="0" collapsed="false">
      <c r="G796" s="20"/>
    </row>
    <row r="797" customFormat="false" ht="15" hidden="false" customHeight="false" outlineLevel="0" collapsed="false">
      <c r="G797" s="20"/>
    </row>
    <row r="798" customFormat="false" ht="15" hidden="false" customHeight="false" outlineLevel="0" collapsed="false">
      <c r="G798" s="20"/>
    </row>
    <row r="799" customFormat="false" ht="15" hidden="false" customHeight="false" outlineLevel="0" collapsed="false">
      <c r="G799" s="20"/>
    </row>
    <row r="800" customFormat="false" ht="15" hidden="false" customHeight="false" outlineLevel="0" collapsed="false">
      <c r="G800" s="20"/>
    </row>
    <row r="801" customFormat="false" ht="15" hidden="false" customHeight="false" outlineLevel="0" collapsed="false">
      <c r="G801" s="20"/>
    </row>
    <row r="802" customFormat="false" ht="15" hidden="false" customHeight="false" outlineLevel="0" collapsed="false">
      <c r="G802" s="20"/>
    </row>
    <row r="803" customFormat="false" ht="15" hidden="false" customHeight="false" outlineLevel="0" collapsed="false">
      <c r="G803" s="20"/>
    </row>
    <row r="804" customFormat="false" ht="15" hidden="false" customHeight="false" outlineLevel="0" collapsed="false">
      <c r="G804" s="20"/>
    </row>
    <row r="805" customFormat="false" ht="15" hidden="false" customHeight="false" outlineLevel="0" collapsed="false">
      <c r="G805" s="20"/>
    </row>
    <row r="806" customFormat="false" ht="15" hidden="false" customHeight="false" outlineLevel="0" collapsed="false">
      <c r="G806" s="20"/>
    </row>
    <row r="807" customFormat="false" ht="15" hidden="false" customHeight="false" outlineLevel="0" collapsed="false">
      <c r="G807" s="20"/>
    </row>
    <row r="808" customFormat="false" ht="15" hidden="false" customHeight="false" outlineLevel="0" collapsed="false">
      <c r="G808" s="20"/>
    </row>
    <row r="809" customFormat="false" ht="15" hidden="false" customHeight="false" outlineLevel="0" collapsed="false">
      <c r="G809" s="20"/>
    </row>
    <row r="810" customFormat="false" ht="15" hidden="false" customHeight="false" outlineLevel="0" collapsed="false">
      <c r="G810" s="20"/>
    </row>
    <row r="811" customFormat="false" ht="15" hidden="false" customHeight="false" outlineLevel="0" collapsed="false">
      <c r="G811" s="20"/>
    </row>
    <row r="812" customFormat="false" ht="15" hidden="false" customHeight="false" outlineLevel="0" collapsed="false">
      <c r="G812" s="20"/>
    </row>
    <row r="813" customFormat="false" ht="15" hidden="false" customHeight="false" outlineLevel="0" collapsed="false">
      <c r="G813" s="20"/>
    </row>
    <row r="814" customFormat="false" ht="15" hidden="false" customHeight="false" outlineLevel="0" collapsed="false">
      <c r="G814" s="20"/>
    </row>
    <row r="815" customFormat="false" ht="15" hidden="false" customHeight="false" outlineLevel="0" collapsed="false">
      <c r="G815" s="20"/>
    </row>
    <row r="816" customFormat="false" ht="15" hidden="false" customHeight="false" outlineLevel="0" collapsed="false">
      <c r="G816" s="20"/>
    </row>
    <row r="817" customFormat="false" ht="15" hidden="false" customHeight="false" outlineLevel="0" collapsed="false">
      <c r="G817" s="20"/>
    </row>
    <row r="818" customFormat="false" ht="15" hidden="false" customHeight="false" outlineLevel="0" collapsed="false">
      <c r="G818" s="20"/>
    </row>
    <row r="819" customFormat="false" ht="15" hidden="false" customHeight="false" outlineLevel="0" collapsed="false">
      <c r="G819" s="20"/>
    </row>
    <row r="820" customFormat="false" ht="15" hidden="false" customHeight="false" outlineLevel="0" collapsed="false">
      <c r="G820" s="20"/>
    </row>
    <row r="821" customFormat="false" ht="15" hidden="false" customHeight="false" outlineLevel="0" collapsed="false">
      <c r="G821" s="20"/>
    </row>
    <row r="822" customFormat="false" ht="15" hidden="false" customHeight="false" outlineLevel="0" collapsed="false">
      <c r="G822" s="20"/>
    </row>
    <row r="823" customFormat="false" ht="15" hidden="false" customHeight="false" outlineLevel="0" collapsed="false">
      <c r="G823" s="20"/>
    </row>
    <row r="824" customFormat="false" ht="15" hidden="false" customHeight="false" outlineLevel="0" collapsed="false">
      <c r="G824" s="20"/>
    </row>
    <row r="825" customFormat="false" ht="15" hidden="false" customHeight="false" outlineLevel="0" collapsed="false">
      <c r="G825" s="20"/>
    </row>
    <row r="826" customFormat="false" ht="15" hidden="false" customHeight="false" outlineLevel="0" collapsed="false">
      <c r="G826" s="20"/>
    </row>
    <row r="827" customFormat="false" ht="15" hidden="false" customHeight="false" outlineLevel="0" collapsed="false">
      <c r="G827" s="20"/>
    </row>
    <row r="828" customFormat="false" ht="15" hidden="false" customHeight="false" outlineLevel="0" collapsed="false">
      <c r="G828" s="20"/>
    </row>
    <row r="829" customFormat="false" ht="15" hidden="false" customHeight="false" outlineLevel="0" collapsed="false">
      <c r="G829" s="20"/>
    </row>
    <row r="830" customFormat="false" ht="15" hidden="false" customHeight="false" outlineLevel="0" collapsed="false">
      <c r="G830" s="20"/>
    </row>
    <row r="831" customFormat="false" ht="15" hidden="false" customHeight="false" outlineLevel="0" collapsed="false">
      <c r="G831" s="20"/>
    </row>
    <row r="832" customFormat="false" ht="15" hidden="false" customHeight="false" outlineLevel="0" collapsed="false">
      <c r="G832" s="20"/>
    </row>
    <row r="833" customFormat="false" ht="15" hidden="false" customHeight="false" outlineLevel="0" collapsed="false">
      <c r="G833" s="20"/>
    </row>
    <row r="834" customFormat="false" ht="15" hidden="false" customHeight="false" outlineLevel="0" collapsed="false">
      <c r="G834" s="20"/>
    </row>
    <row r="835" customFormat="false" ht="15" hidden="false" customHeight="false" outlineLevel="0" collapsed="false">
      <c r="G835" s="20"/>
    </row>
    <row r="836" customFormat="false" ht="15" hidden="false" customHeight="false" outlineLevel="0" collapsed="false">
      <c r="G836" s="20"/>
    </row>
    <row r="837" customFormat="false" ht="15" hidden="false" customHeight="false" outlineLevel="0" collapsed="false">
      <c r="G837" s="20"/>
    </row>
    <row r="838" customFormat="false" ht="15" hidden="false" customHeight="false" outlineLevel="0" collapsed="false">
      <c r="G838" s="20"/>
    </row>
    <row r="839" customFormat="false" ht="15" hidden="false" customHeight="false" outlineLevel="0" collapsed="false">
      <c r="G839" s="20"/>
    </row>
    <row r="840" customFormat="false" ht="15" hidden="false" customHeight="false" outlineLevel="0" collapsed="false">
      <c r="G840" s="20"/>
    </row>
    <row r="841" customFormat="false" ht="15" hidden="false" customHeight="false" outlineLevel="0" collapsed="false">
      <c r="G841" s="20"/>
    </row>
    <row r="842" customFormat="false" ht="15" hidden="false" customHeight="false" outlineLevel="0" collapsed="false">
      <c r="G842" s="20"/>
    </row>
    <row r="843" customFormat="false" ht="15" hidden="false" customHeight="false" outlineLevel="0" collapsed="false">
      <c r="G843" s="20"/>
    </row>
    <row r="844" customFormat="false" ht="15" hidden="false" customHeight="false" outlineLevel="0" collapsed="false">
      <c r="G844" s="20"/>
    </row>
    <row r="845" customFormat="false" ht="15" hidden="false" customHeight="false" outlineLevel="0" collapsed="false">
      <c r="G845" s="20"/>
    </row>
    <row r="846" customFormat="false" ht="15" hidden="false" customHeight="false" outlineLevel="0" collapsed="false">
      <c r="G846" s="20"/>
    </row>
    <row r="847" customFormat="false" ht="15" hidden="false" customHeight="false" outlineLevel="0" collapsed="false">
      <c r="G847" s="20"/>
    </row>
    <row r="848" customFormat="false" ht="15" hidden="false" customHeight="false" outlineLevel="0" collapsed="false">
      <c r="G848" s="20"/>
    </row>
    <row r="849" customFormat="false" ht="15" hidden="false" customHeight="false" outlineLevel="0" collapsed="false">
      <c r="G849" s="20"/>
    </row>
    <row r="850" customFormat="false" ht="15" hidden="false" customHeight="false" outlineLevel="0" collapsed="false">
      <c r="G850" s="20"/>
    </row>
    <row r="851" customFormat="false" ht="15" hidden="false" customHeight="false" outlineLevel="0" collapsed="false">
      <c r="G851" s="20"/>
    </row>
    <row r="852" customFormat="false" ht="15" hidden="false" customHeight="false" outlineLevel="0" collapsed="false">
      <c r="G852" s="20"/>
    </row>
    <row r="853" customFormat="false" ht="15" hidden="false" customHeight="false" outlineLevel="0" collapsed="false">
      <c r="G853" s="20"/>
    </row>
    <row r="854" customFormat="false" ht="15" hidden="false" customHeight="false" outlineLevel="0" collapsed="false">
      <c r="G854" s="20"/>
    </row>
    <row r="855" customFormat="false" ht="15" hidden="false" customHeight="false" outlineLevel="0" collapsed="false">
      <c r="G855" s="20"/>
    </row>
    <row r="856" customFormat="false" ht="15" hidden="false" customHeight="false" outlineLevel="0" collapsed="false">
      <c r="G856" s="20"/>
    </row>
    <row r="857" customFormat="false" ht="15" hidden="false" customHeight="false" outlineLevel="0" collapsed="false">
      <c r="G857" s="20"/>
    </row>
    <row r="858" customFormat="false" ht="15" hidden="false" customHeight="false" outlineLevel="0" collapsed="false">
      <c r="G858" s="20"/>
    </row>
    <row r="859" customFormat="false" ht="15" hidden="false" customHeight="false" outlineLevel="0" collapsed="false">
      <c r="G859" s="20"/>
    </row>
    <row r="860" customFormat="false" ht="15" hidden="false" customHeight="false" outlineLevel="0" collapsed="false">
      <c r="G860" s="20"/>
    </row>
    <row r="861" customFormat="false" ht="15" hidden="false" customHeight="false" outlineLevel="0" collapsed="false">
      <c r="G861" s="20"/>
    </row>
    <row r="862" customFormat="false" ht="15" hidden="false" customHeight="false" outlineLevel="0" collapsed="false">
      <c r="G862" s="20"/>
    </row>
    <row r="863" customFormat="false" ht="15" hidden="false" customHeight="false" outlineLevel="0" collapsed="false">
      <c r="G863" s="20"/>
    </row>
    <row r="864" customFormat="false" ht="15" hidden="false" customHeight="false" outlineLevel="0" collapsed="false">
      <c r="G864" s="20"/>
    </row>
    <row r="865" customFormat="false" ht="15" hidden="false" customHeight="false" outlineLevel="0" collapsed="false">
      <c r="G865" s="20"/>
    </row>
    <row r="866" customFormat="false" ht="15" hidden="false" customHeight="false" outlineLevel="0" collapsed="false">
      <c r="G866" s="20"/>
    </row>
    <row r="867" customFormat="false" ht="15" hidden="false" customHeight="false" outlineLevel="0" collapsed="false">
      <c r="G867" s="20"/>
    </row>
    <row r="868" customFormat="false" ht="15" hidden="false" customHeight="false" outlineLevel="0" collapsed="false">
      <c r="G868" s="20"/>
    </row>
    <row r="869" customFormat="false" ht="15" hidden="false" customHeight="false" outlineLevel="0" collapsed="false">
      <c r="G869" s="20"/>
    </row>
    <row r="870" customFormat="false" ht="15" hidden="false" customHeight="false" outlineLevel="0" collapsed="false">
      <c r="G870" s="20"/>
    </row>
    <row r="871" customFormat="false" ht="15" hidden="false" customHeight="false" outlineLevel="0" collapsed="false">
      <c r="G871" s="20"/>
    </row>
    <row r="872" customFormat="false" ht="15" hidden="false" customHeight="false" outlineLevel="0" collapsed="false">
      <c r="G872" s="20"/>
    </row>
    <row r="873" customFormat="false" ht="15" hidden="false" customHeight="false" outlineLevel="0" collapsed="false">
      <c r="G873" s="20"/>
    </row>
    <row r="874" customFormat="false" ht="15" hidden="false" customHeight="false" outlineLevel="0" collapsed="false">
      <c r="G874" s="20"/>
    </row>
    <row r="875" customFormat="false" ht="15" hidden="false" customHeight="false" outlineLevel="0" collapsed="false">
      <c r="G875" s="20"/>
    </row>
    <row r="876" customFormat="false" ht="15" hidden="false" customHeight="false" outlineLevel="0" collapsed="false">
      <c r="G876" s="20"/>
    </row>
    <row r="877" customFormat="false" ht="15" hidden="false" customHeight="false" outlineLevel="0" collapsed="false">
      <c r="G877" s="20"/>
    </row>
    <row r="878" customFormat="false" ht="15" hidden="false" customHeight="false" outlineLevel="0" collapsed="false">
      <c r="G878" s="20"/>
    </row>
    <row r="879" customFormat="false" ht="15" hidden="false" customHeight="false" outlineLevel="0" collapsed="false">
      <c r="G879" s="20"/>
    </row>
    <row r="880" customFormat="false" ht="15" hidden="false" customHeight="false" outlineLevel="0" collapsed="false">
      <c r="G880" s="20"/>
    </row>
    <row r="881" customFormat="false" ht="15" hidden="false" customHeight="false" outlineLevel="0" collapsed="false">
      <c r="G881" s="20"/>
    </row>
    <row r="882" customFormat="false" ht="15" hidden="false" customHeight="false" outlineLevel="0" collapsed="false">
      <c r="G882" s="20"/>
    </row>
    <row r="883" customFormat="false" ht="15" hidden="false" customHeight="false" outlineLevel="0" collapsed="false">
      <c r="G883" s="20"/>
    </row>
    <row r="884" customFormat="false" ht="15" hidden="false" customHeight="false" outlineLevel="0" collapsed="false">
      <c r="G884" s="20"/>
    </row>
    <row r="885" customFormat="false" ht="15" hidden="false" customHeight="false" outlineLevel="0" collapsed="false">
      <c r="G885" s="20"/>
    </row>
    <row r="886" customFormat="false" ht="15" hidden="false" customHeight="false" outlineLevel="0" collapsed="false">
      <c r="G886" s="20"/>
    </row>
    <row r="887" customFormat="false" ht="15" hidden="false" customHeight="false" outlineLevel="0" collapsed="false">
      <c r="G887" s="20"/>
    </row>
    <row r="888" customFormat="false" ht="15" hidden="false" customHeight="false" outlineLevel="0" collapsed="false">
      <c r="G888" s="20"/>
    </row>
    <row r="889" customFormat="false" ht="15" hidden="false" customHeight="false" outlineLevel="0" collapsed="false">
      <c r="G889" s="20"/>
    </row>
    <row r="890" customFormat="false" ht="15" hidden="false" customHeight="false" outlineLevel="0" collapsed="false">
      <c r="G890" s="20"/>
    </row>
    <row r="891" customFormat="false" ht="15" hidden="false" customHeight="false" outlineLevel="0" collapsed="false">
      <c r="G891" s="20"/>
    </row>
    <row r="892" customFormat="false" ht="15" hidden="false" customHeight="false" outlineLevel="0" collapsed="false">
      <c r="G892" s="20"/>
    </row>
    <row r="893" customFormat="false" ht="15" hidden="false" customHeight="false" outlineLevel="0" collapsed="false">
      <c r="G893" s="20"/>
    </row>
    <row r="894" customFormat="false" ht="15" hidden="false" customHeight="false" outlineLevel="0" collapsed="false">
      <c r="G894" s="20"/>
    </row>
    <row r="895" customFormat="false" ht="15" hidden="false" customHeight="false" outlineLevel="0" collapsed="false">
      <c r="G895" s="20"/>
    </row>
    <row r="896" customFormat="false" ht="15" hidden="false" customHeight="false" outlineLevel="0" collapsed="false">
      <c r="G896" s="20"/>
    </row>
    <row r="897" customFormat="false" ht="15" hidden="false" customHeight="false" outlineLevel="0" collapsed="false">
      <c r="G897" s="20"/>
    </row>
    <row r="898" customFormat="false" ht="15" hidden="false" customHeight="false" outlineLevel="0" collapsed="false">
      <c r="G898" s="20"/>
    </row>
    <row r="899" customFormat="false" ht="15" hidden="false" customHeight="false" outlineLevel="0" collapsed="false">
      <c r="G899" s="20"/>
    </row>
    <row r="900" customFormat="false" ht="15" hidden="false" customHeight="false" outlineLevel="0" collapsed="false">
      <c r="G900" s="20"/>
    </row>
    <row r="901" customFormat="false" ht="15" hidden="false" customHeight="false" outlineLevel="0" collapsed="false">
      <c r="G901" s="20"/>
    </row>
    <row r="902" customFormat="false" ht="15" hidden="false" customHeight="false" outlineLevel="0" collapsed="false">
      <c r="G902" s="20"/>
    </row>
    <row r="903" customFormat="false" ht="15" hidden="false" customHeight="false" outlineLevel="0" collapsed="false">
      <c r="G903" s="20"/>
    </row>
    <row r="904" customFormat="false" ht="15" hidden="false" customHeight="false" outlineLevel="0" collapsed="false">
      <c r="G904" s="20"/>
    </row>
    <row r="905" customFormat="false" ht="15" hidden="false" customHeight="false" outlineLevel="0" collapsed="false">
      <c r="G905" s="20"/>
    </row>
    <row r="906" customFormat="false" ht="15" hidden="false" customHeight="false" outlineLevel="0" collapsed="false">
      <c r="G906" s="20"/>
    </row>
    <row r="907" customFormat="false" ht="15" hidden="false" customHeight="false" outlineLevel="0" collapsed="false">
      <c r="G907" s="20"/>
    </row>
    <row r="908" customFormat="false" ht="15" hidden="false" customHeight="false" outlineLevel="0" collapsed="false">
      <c r="G908" s="20"/>
    </row>
    <row r="909" customFormat="false" ht="15" hidden="false" customHeight="false" outlineLevel="0" collapsed="false">
      <c r="G909" s="20"/>
    </row>
    <row r="910" customFormat="false" ht="15" hidden="false" customHeight="false" outlineLevel="0" collapsed="false">
      <c r="G910" s="20"/>
    </row>
    <row r="911" customFormat="false" ht="15" hidden="false" customHeight="false" outlineLevel="0" collapsed="false">
      <c r="G911" s="20"/>
    </row>
    <row r="912" customFormat="false" ht="15" hidden="false" customHeight="false" outlineLevel="0" collapsed="false">
      <c r="G912" s="20"/>
    </row>
    <row r="913" customFormat="false" ht="15" hidden="false" customHeight="false" outlineLevel="0" collapsed="false">
      <c r="G913" s="20"/>
    </row>
    <row r="914" customFormat="false" ht="15" hidden="false" customHeight="false" outlineLevel="0" collapsed="false">
      <c r="G914" s="20"/>
    </row>
    <row r="915" customFormat="false" ht="15" hidden="false" customHeight="false" outlineLevel="0" collapsed="false">
      <c r="G915" s="20"/>
    </row>
    <row r="916" customFormat="false" ht="15" hidden="false" customHeight="false" outlineLevel="0" collapsed="false">
      <c r="G916" s="20"/>
    </row>
    <row r="917" customFormat="false" ht="15" hidden="false" customHeight="false" outlineLevel="0" collapsed="false">
      <c r="G917" s="20"/>
    </row>
    <row r="918" customFormat="false" ht="15" hidden="false" customHeight="false" outlineLevel="0" collapsed="false">
      <c r="G918" s="20"/>
    </row>
    <row r="919" customFormat="false" ht="15" hidden="false" customHeight="false" outlineLevel="0" collapsed="false">
      <c r="G919" s="20"/>
    </row>
    <row r="920" customFormat="false" ht="15" hidden="false" customHeight="false" outlineLevel="0" collapsed="false">
      <c r="G920" s="20"/>
    </row>
    <row r="921" customFormat="false" ht="15" hidden="false" customHeight="false" outlineLevel="0" collapsed="false">
      <c r="G921" s="20"/>
    </row>
    <row r="922" customFormat="false" ht="15" hidden="false" customHeight="false" outlineLevel="0" collapsed="false">
      <c r="G922" s="20"/>
    </row>
    <row r="923" customFormat="false" ht="15" hidden="false" customHeight="false" outlineLevel="0" collapsed="false">
      <c r="G923" s="20"/>
    </row>
    <row r="924" customFormat="false" ht="15" hidden="false" customHeight="false" outlineLevel="0" collapsed="false">
      <c r="G924" s="20"/>
    </row>
    <row r="925" customFormat="false" ht="15" hidden="false" customHeight="false" outlineLevel="0" collapsed="false">
      <c r="G925" s="20"/>
    </row>
    <row r="926" customFormat="false" ht="15" hidden="false" customHeight="false" outlineLevel="0" collapsed="false">
      <c r="G926" s="20"/>
    </row>
    <row r="927" customFormat="false" ht="15" hidden="false" customHeight="false" outlineLevel="0" collapsed="false">
      <c r="G927" s="20"/>
    </row>
    <row r="928" customFormat="false" ht="15" hidden="false" customHeight="false" outlineLevel="0" collapsed="false">
      <c r="G928" s="20"/>
    </row>
    <row r="929" customFormat="false" ht="15" hidden="false" customHeight="false" outlineLevel="0" collapsed="false">
      <c r="G929" s="20"/>
    </row>
    <row r="930" customFormat="false" ht="15" hidden="false" customHeight="false" outlineLevel="0" collapsed="false">
      <c r="G930" s="20"/>
    </row>
    <row r="931" customFormat="false" ht="15" hidden="false" customHeight="false" outlineLevel="0" collapsed="false">
      <c r="G931" s="20"/>
    </row>
    <row r="932" customFormat="false" ht="15" hidden="false" customHeight="false" outlineLevel="0" collapsed="false">
      <c r="G932" s="20"/>
    </row>
    <row r="933" customFormat="false" ht="15" hidden="false" customHeight="false" outlineLevel="0" collapsed="false">
      <c r="G933" s="20"/>
    </row>
    <row r="934" customFormat="false" ht="15" hidden="false" customHeight="false" outlineLevel="0" collapsed="false">
      <c r="G934" s="20"/>
    </row>
    <row r="935" customFormat="false" ht="15" hidden="false" customHeight="false" outlineLevel="0" collapsed="false">
      <c r="G935" s="20"/>
    </row>
    <row r="936" customFormat="false" ht="15" hidden="false" customHeight="false" outlineLevel="0" collapsed="false">
      <c r="G936" s="20"/>
    </row>
    <row r="937" customFormat="false" ht="15" hidden="false" customHeight="false" outlineLevel="0" collapsed="false">
      <c r="G937" s="20"/>
    </row>
    <row r="938" customFormat="false" ht="15" hidden="false" customHeight="false" outlineLevel="0" collapsed="false">
      <c r="G938" s="20"/>
    </row>
    <row r="939" customFormat="false" ht="15" hidden="false" customHeight="false" outlineLevel="0" collapsed="false">
      <c r="G939" s="20"/>
    </row>
    <row r="940" customFormat="false" ht="15" hidden="false" customHeight="false" outlineLevel="0" collapsed="false">
      <c r="G940" s="20"/>
    </row>
    <row r="941" customFormat="false" ht="15" hidden="false" customHeight="false" outlineLevel="0" collapsed="false">
      <c r="G941" s="20"/>
    </row>
    <row r="942" customFormat="false" ht="15" hidden="false" customHeight="false" outlineLevel="0" collapsed="false">
      <c r="G942" s="20"/>
    </row>
    <row r="943" customFormat="false" ht="15" hidden="false" customHeight="false" outlineLevel="0" collapsed="false">
      <c r="G943" s="20"/>
    </row>
    <row r="944" customFormat="false" ht="15" hidden="false" customHeight="false" outlineLevel="0" collapsed="false">
      <c r="G944" s="20"/>
    </row>
    <row r="945" customFormat="false" ht="15" hidden="false" customHeight="false" outlineLevel="0" collapsed="false">
      <c r="G945" s="20"/>
    </row>
    <row r="946" customFormat="false" ht="15" hidden="false" customHeight="false" outlineLevel="0" collapsed="false">
      <c r="G946" s="20"/>
    </row>
    <row r="947" customFormat="false" ht="15" hidden="false" customHeight="false" outlineLevel="0" collapsed="false">
      <c r="G947" s="20"/>
    </row>
    <row r="948" customFormat="false" ht="15" hidden="false" customHeight="false" outlineLevel="0" collapsed="false">
      <c r="G948" s="20"/>
    </row>
    <row r="949" customFormat="false" ht="15" hidden="false" customHeight="false" outlineLevel="0" collapsed="false">
      <c r="G949" s="20"/>
    </row>
    <row r="950" customFormat="false" ht="15" hidden="false" customHeight="false" outlineLevel="0" collapsed="false">
      <c r="G950" s="20"/>
    </row>
    <row r="951" customFormat="false" ht="15" hidden="false" customHeight="false" outlineLevel="0" collapsed="false">
      <c r="G951" s="20"/>
    </row>
    <row r="952" customFormat="false" ht="15" hidden="false" customHeight="false" outlineLevel="0" collapsed="false">
      <c r="G952" s="20"/>
    </row>
    <row r="953" customFormat="false" ht="15" hidden="false" customHeight="false" outlineLevel="0" collapsed="false">
      <c r="G953" s="20"/>
    </row>
    <row r="954" customFormat="false" ht="15" hidden="false" customHeight="false" outlineLevel="0" collapsed="false">
      <c r="G954" s="20"/>
    </row>
    <row r="955" customFormat="false" ht="15" hidden="false" customHeight="false" outlineLevel="0" collapsed="false">
      <c r="G955" s="20"/>
    </row>
    <row r="956" customFormat="false" ht="15" hidden="false" customHeight="false" outlineLevel="0" collapsed="false">
      <c r="G956" s="20"/>
    </row>
    <row r="957" customFormat="false" ht="15" hidden="false" customHeight="false" outlineLevel="0" collapsed="false">
      <c r="G957" s="20"/>
    </row>
    <row r="958" customFormat="false" ht="15" hidden="false" customHeight="false" outlineLevel="0" collapsed="false">
      <c r="G958" s="20"/>
    </row>
    <row r="959" customFormat="false" ht="15" hidden="false" customHeight="false" outlineLevel="0" collapsed="false">
      <c r="G959" s="20"/>
    </row>
    <row r="960" customFormat="false" ht="15" hidden="false" customHeight="false" outlineLevel="0" collapsed="false">
      <c r="G960" s="20"/>
    </row>
    <row r="961" customFormat="false" ht="15" hidden="false" customHeight="false" outlineLevel="0" collapsed="false">
      <c r="G961" s="20"/>
    </row>
    <row r="962" customFormat="false" ht="15" hidden="false" customHeight="false" outlineLevel="0" collapsed="false">
      <c r="G962" s="20"/>
    </row>
    <row r="963" customFormat="false" ht="15" hidden="false" customHeight="false" outlineLevel="0" collapsed="false">
      <c r="G963" s="20"/>
    </row>
    <row r="964" customFormat="false" ht="15" hidden="false" customHeight="false" outlineLevel="0" collapsed="false">
      <c r="G964" s="20"/>
    </row>
    <row r="965" customFormat="false" ht="15" hidden="false" customHeight="false" outlineLevel="0" collapsed="false">
      <c r="G965" s="20"/>
    </row>
    <row r="966" customFormat="false" ht="15" hidden="false" customHeight="false" outlineLevel="0" collapsed="false">
      <c r="G966" s="20"/>
    </row>
    <row r="967" customFormat="false" ht="15" hidden="false" customHeight="false" outlineLevel="0" collapsed="false">
      <c r="G967" s="20"/>
    </row>
    <row r="968" customFormat="false" ht="15" hidden="false" customHeight="false" outlineLevel="0" collapsed="false">
      <c r="G968" s="20"/>
    </row>
    <row r="969" customFormat="false" ht="15" hidden="false" customHeight="false" outlineLevel="0" collapsed="false">
      <c r="G969" s="20"/>
    </row>
    <row r="970" customFormat="false" ht="15" hidden="false" customHeight="false" outlineLevel="0" collapsed="false">
      <c r="G970" s="20"/>
    </row>
    <row r="971" customFormat="false" ht="15" hidden="false" customHeight="false" outlineLevel="0" collapsed="false">
      <c r="G971" s="20"/>
    </row>
    <row r="972" customFormat="false" ht="15" hidden="false" customHeight="false" outlineLevel="0" collapsed="false">
      <c r="G972" s="20"/>
    </row>
    <row r="973" customFormat="false" ht="15" hidden="false" customHeight="false" outlineLevel="0" collapsed="false">
      <c r="G973" s="20"/>
    </row>
    <row r="974" customFormat="false" ht="15" hidden="false" customHeight="false" outlineLevel="0" collapsed="false">
      <c r="G974" s="20"/>
    </row>
    <row r="975" customFormat="false" ht="15" hidden="false" customHeight="false" outlineLevel="0" collapsed="false">
      <c r="G975" s="20"/>
    </row>
    <row r="976" customFormat="false" ht="15" hidden="false" customHeight="false" outlineLevel="0" collapsed="false">
      <c r="G976" s="20"/>
    </row>
    <row r="977" customFormat="false" ht="15" hidden="false" customHeight="false" outlineLevel="0" collapsed="false">
      <c r="G977" s="20"/>
    </row>
    <row r="978" customFormat="false" ht="15" hidden="false" customHeight="false" outlineLevel="0" collapsed="false">
      <c r="G978" s="20"/>
    </row>
    <row r="979" customFormat="false" ht="15" hidden="false" customHeight="false" outlineLevel="0" collapsed="false">
      <c r="G979" s="20"/>
    </row>
    <row r="980" customFormat="false" ht="15" hidden="false" customHeight="false" outlineLevel="0" collapsed="false">
      <c r="G980" s="20"/>
    </row>
    <row r="981" customFormat="false" ht="15" hidden="false" customHeight="false" outlineLevel="0" collapsed="false">
      <c r="G981" s="20"/>
    </row>
    <row r="982" customFormat="false" ht="15" hidden="false" customHeight="false" outlineLevel="0" collapsed="false">
      <c r="G982" s="20"/>
    </row>
    <row r="983" customFormat="false" ht="15" hidden="false" customHeight="false" outlineLevel="0" collapsed="false">
      <c r="G983" s="20"/>
    </row>
    <row r="984" customFormat="false" ht="15" hidden="false" customHeight="false" outlineLevel="0" collapsed="false">
      <c r="G984" s="20"/>
    </row>
    <row r="985" customFormat="false" ht="15" hidden="false" customHeight="false" outlineLevel="0" collapsed="false">
      <c r="G985" s="20"/>
    </row>
    <row r="986" customFormat="false" ht="15" hidden="false" customHeight="false" outlineLevel="0" collapsed="false">
      <c r="G986" s="20"/>
    </row>
    <row r="987" customFormat="false" ht="15" hidden="false" customHeight="false" outlineLevel="0" collapsed="false">
      <c r="G987" s="20"/>
    </row>
    <row r="988" customFormat="false" ht="15" hidden="false" customHeight="false" outlineLevel="0" collapsed="false">
      <c r="G988" s="20"/>
    </row>
    <row r="989" customFormat="false" ht="15" hidden="false" customHeight="false" outlineLevel="0" collapsed="false">
      <c r="G989" s="20"/>
    </row>
    <row r="990" customFormat="false" ht="15" hidden="false" customHeight="false" outlineLevel="0" collapsed="false">
      <c r="G990" s="20"/>
    </row>
    <row r="991" customFormat="false" ht="15" hidden="false" customHeight="false" outlineLevel="0" collapsed="false">
      <c r="G991" s="20"/>
    </row>
    <row r="992" customFormat="false" ht="15" hidden="false" customHeight="false" outlineLevel="0" collapsed="false">
      <c r="G992" s="20"/>
    </row>
    <row r="993" customFormat="false" ht="15" hidden="false" customHeight="false" outlineLevel="0" collapsed="false">
      <c r="G993" s="20"/>
    </row>
    <row r="994" customFormat="false" ht="15" hidden="false" customHeight="false" outlineLevel="0" collapsed="false">
      <c r="G994" s="20"/>
    </row>
    <row r="995" customFormat="false" ht="15" hidden="false" customHeight="false" outlineLevel="0" collapsed="false">
      <c r="G995" s="20"/>
    </row>
    <row r="996" customFormat="false" ht="15" hidden="false" customHeight="false" outlineLevel="0" collapsed="false">
      <c r="G996" s="20"/>
    </row>
    <row r="997" customFormat="false" ht="15" hidden="false" customHeight="false" outlineLevel="0" collapsed="false">
      <c r="G997" s="20"/>
    </row>
    <row r="998" customFormat="false" ht="15" hidden="false" customHeight="false" outlineLevel="0" collapsed="false">
      <c r="G998" s="20"/>
    </row>
    <row r="999" customFormat="false" ht="15" hidden="false" customHeight="false" outlineLevel="0" collapsed="false">
      <c r="G999" s="20"/>
    </row>
    <row r="1000" customFormat="false" ht="15" hidden="false" customHeight="false" outlineLevel="0" collapsed="false">
      <c r="G1000" s="20"/>
    </row>
  </sheetData>
  <autoFilter ref="A1:Y27"/>
  <dataValidations count="1">
    <dataValidation allowBlank="true" errorStyle="stop" operator="between" showDropDown="false" showErrorMessage="false" showInputMessage="false" sqref="G2:G1000" type="list">
      <formula1>"Running,Proposed,Merging,Stuck,Waiting for OK,Raising money,Won,Stopped"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0"/>
    <col collapsed="false" customWidth="true" hidden="false" outlineLevel="0" max="3" min="3" style="1" width="14"/>
    <col collapsed="false" customWidth="true" hidden="false" outlineLevel="0" max="4" min="4" style="1" width="42"/>
    <col collapsed="false" customWidth="true" hidden="false" outlineLevel="0" max="5" min="5" style="1" width="11"/>
    <col collapsed="false" customWidth="true" hidden="false" outlineLevel="0" max="6" min="6" style="1" width="5"/>
    <col collapsed="false" customWidth="true" hidden="false" outlineLevel="0" max="7" min="7" style="1" width="9"/>
    <col collapsed="false" customWidth="true" hidden="false" outlineLevel="0" max="8" min="8" style="1" width="7"/>
    <col collapsed="false" customWidth="true" hidden="false" outlineLevel="0" max="9" min="9" style="1" width="8"/>
    <col collapsed="false" customWidth="true" hidden="false" outlineLevel="0" max="10" min="10" style="1" width="10"/>
    <col collapsed="false" customWidth="true" hidden="false" outlineLevel="0" max="11" min="11" style="1" width="32"/>
    <col collapsed="false" customWidth="true" hidden="false" outlineLevel="0" max="12" min="12" style="1" width="6"/>
    <col collapsed="false" customWidth="true" hidden="false" outlineLevel="0" max="13" min="13" style="1" width="32"/>
    <col collapsed="false" customWidth="true" hidden="false" outlineLevel="0" max="15" min="14" style="1" width="50"/>
    <col collapsed="false" customWidth="true" hidden="false" outlineLevel="0" max="16" min="16" style="1" width="36"/>
    <col collapsed="false" customWidth="true" hidden="false" outlineLevel="0" max="17" min="17" style="1" width="40"/>
    <col collapsed="false" customWidth="true" hidden="false" outlineLevel="0" max="18" min="18" style="1" width="32"/>
    <col collapsed="false" customWidth="true" hidden="false" outlineLevel="0" max="20" min="19" style="1" width="36"/>
    <col collapsed="false" customWidth="true" hidden="false" outlineLevel="0" max="21" min="21" style="1" width="30"/>
    <col collapsed="false" customWidth="true" hidden="false" outlineLevel="0" max="22" min="22" style="1" width="24"/>
    <col collapsed="false" customWidth="true" hidden="false" outlineLevel="0" max="23" min="23" style="1" width="14"/>
    <col collapsed="false" customWidth="true" hidden="false" outlineLevel="0" max="25" min="24" style="1" width="40"/>
    <col collapsed="false" customWidth="true" hidden="false" outlineLevel="0" max="26" min="26" style="1" width="30"/>
  </cols>
  <sheetData>
    <row r="1" customFormat="false" ht="31.5" hidden="false" customHeight="true" outlineLevel="0" collapsed="false">
      <c r="A1" s="7" t="s">
        <v>1956</v>
      </c>
      <c r="B1" s="7" t="s">
        <v>41</v>
      </c>
      <c r="C1" s="7" t="s">
        <v>1532</v>
      </c>
      <c r="D1" s="7" t="s">
        <v>1957</v>
      </c>
      <c r="E1" s="7" t="s">
        <v>1958</v>
      </c>
      <c r="F1" s="7" t="s">
        <v>1959</v>
      </c>
      <c r="G1" s="7" t="s">
        <v>1960</v>
      </c>
      <c r="H1" s="7" t="s">
        <v>49</v>
      </c>
      <c r="I1" s="7" t="s">
        <v>45</v>
      </c>
      <c r="J1" s="7" t="s">
        <v>55</v>
      </c>
      <c r="K1" s="7" t="s">
        <v>1961</v>
      </c>
      <c r="L1" s="8" t="s">
        <v>1962</v>
      </c>
      <c r="M1" s="8" t="s">
        <v>1963</v>
      </c>
      <c r="N1" s="8" t="s">
        <v>1964</v>
      </c>
      <c r="O1" s="8" t="s">
        <v>1965</v>
      </c>
      <c r="P1" s="8" t="s">
        <v>1966</v>
      </c>
      <c r="Q1" s="8" t="s">
        <v>370</v>
      </c>
      <c r="R1" s="8" t="s">
        <v>1967</v>
      </c>
      <c r="S1" s="8" t="s">
        <v>1968</v>
      </c>
      <c r="T1" s="8" t="s">
        <v>1969</v>
      </c>
      <c r="U1" s="8" t="s">
        <v>1970</v>
      </c>
      <c r="V1" s="8" t="s">
        <v>1971</v>
      </c>
      <c r="W1" s="8" t="s">
        <v>372</v>
      </c>
      <c r="X1" s="8" t="s">
        <v>1972</v>
      </c>
      <c r="Y1" s="8" t="s">
        <v>1973</v>
      </c>
      <c r="Z1" s="7" t="s">
        <v>66</v>
      </c>
    </row>
    <row r="2" customFormat="false" ht="45.75" hidden="false" customHeight="true" outlineLevel="0" collapsed="false">
      <c r="A2" s="9" t="s">
        <v>1974</v>
      </c>
      <c r="B2" s="9" t="s">
        <v>67</v>
      </c>
      <c r="C2" s="9" t="s">
        <v>1562</v>
      </c>
      <c r="D2" s="9" t="s">
        <v>1975</v>
      </c>
      <c r="E2" s="9" t="s">
        <v>1135</v>
      </c>
      <c r="F2" s="9" t="s">
        <v>1976</v>
      </c>
      <c r="G2" s="11" t="n">
        <v>60</v>
      </c>
      <c r="H2" s="9" t="s">
        <v>73</v>
      </c>
      <c r="I2" s="9" t="s">
        <v>379</v>
      </c>
      <c r="J2" s="9" t="s">
        <v>1977</v>
      </c>
      <c r="K2" s="9"/>
      <c r="L2" s="13" t="n">
        <v>1</v>
      </c>
      <c r="M2" s="13" t="s">
        <v>1978</v>
      </c>
      <c r="N2" s="13" t="s">
        <v>1979</v>
      </c>
      <c r="O2" s="13" t="s">
        <v>1980</v>
      </c>
      <c r="P2" s="13" t="s">
        <v>1981</v>
      </c>
      <c r="Q2" s="13" t="s">
        <v>1982</v>
      </c>
      <c r="R2" s="13" t="s">
        <v>1983</v>
      </c>
      <c r="S2" s="13" t="s">
        <v>1984</v>
      </c>
      <c r="T2" s="13" t="s">
        <v>1985</v>
      </c>
      <c r="U2" s="13" t="s">
        <v>1986</v>
      </c>
      <c r="V2" s="13" t="s">
        <v>1987</v>
      </c>
      <c r="W2" s="13"/>
      <c r="X2" s="13"/>
      <c r="Y2" s="13"/>
      <c r="Z2" s="14"/>
    </row>
    <row r="3" customFormat="false" ht="34.5" hidden="false" customHeight="true" outlineLevel="0" collapsed="false">
      <c r="A3" s="9" t="s">
        <v>1988</v>
      </c>
      <c r="B3" s="9" t="s">
        <v>67</v>
      </c>
      <c r="C3" s="9" t="s">
        <v>1575</v>
      </c>
      <c r="D3" s="9" t="s">
        <v>1989</v>
      </c>
      <c r="E3" s="9" t="s">
        <v>1137</v>
      </c>
      <c r="F3" s="9" t="s">
        <v>1976</v>
      </c>
      <c r="G3" s="11" t="n">
        <v>60</v>
      </c>
      <c r="H3" s="9" t="s">
        <v>73</v>
      </c>
      <c r="I3" s="9" t="s">
        <v>379</v>
      </c>
      <c r="J3" s="9" t="s">
        <v>1977</v>
      </c>
      <c r="K3" s="9"/>
      <c r="L3" s="13" t="n">
        <v>2</v>
      </c>
      <c r="M3" s="13" t="s">
        <v>1990</v>
      </c>
      <c r="N3" s="13" t="s">
        <v>1991</v>
      </c>
      <c r="O3" s="13" t="s">
        <v>1992</v>
      </c>
      <c r="P3" s="13" t="s">
        <v>1993</v>
      </c>
      <c r="Q3" s="13" t="s">
        <v>1994</v>
      </c>
      <c r="R3" s="13" t="s">
        <v>1995</v>
      </c>
      <c r="S3" s="13" t="s">
        <v>1996</v>
      </c>
      <c r="T3" s="13" t="s">
        <v>1997</v>
      </c>
      <c r="U3" s="13" t="s">
        <v>1998</v>
      </c>
      <c r="V3" s="13" t="s">
        <v>1999</v>
      </c>
      <c r="W3" s="13" t="s">
        <v>1974</v>
      </c>
      <c r="X3" s="13"/>
      <c r="Y3" s="13"/>
      <c r="Z3" s="14"/>
    </row>
    <row r="4" customFormat="false" ht="34.5" hidden="false" customHeight="true" outlineLevel="0" collapsed="false">
      <c r="A4" s="9" t="s">
        <v>2000</v>
      </c>
      <c r="B4" s="9" t="s">
        <v>67</v>
      </c>
      <c r="C4" s="9" t="s">
        <v>1562</v>
      </c>
      <c r="D4" s="9" t="s">
        <v>2001</v>
      </c>
      <c r="E4" s="9" t="s">
        <v>1135</v>
      </c>
      <c r="F4" s="9" t="s">
        <v>2002</v>
      </c>
      <c r="G4" s="11" t="n">
        <v>10</v>
      </c>
      <c r="H4" s="9" t="s">
        <v>73</v>
      </c>
      <c r="I4" s="9" t="s">
        <v>379</v>
      </c>
      <c r="J4" s="9" t="s">
        <v>1977</v>
      </c>
      <c r="K4" s="9"/>
      <c r="L4" s="13" t="n">
        <v>3</v>
      </c>
      <c r="M4" s="13" t="s">
        <v>2003</v>
      </c>
      <c r="N4" s="13" t="s">
        <v>2004</v>
      </c>
      <c r="O4" s="13" t="s">
        <v>2005</v>
      </c>
      <c r="P4" s="13" t="s">
        <v>2006</v>
      </c>
      <c r="Q4" s="13" t="s">
        <v>2007</v>
      </c>
      <c r="R4" s="13" t="s">
        <v>1555</v>
      </c>
      <c r="S4" s="13" t="s">
        <v>2008</v>
      </c>
      <c r="T4" s="13" t="s">
        <v>2009</v>
      </c>
      <c r="U4" s="13" t="s">
        <v>2010</v>
      </c>
      <c r="V4" s="13" t="s">
        <v>2011</v>
      </c>
      <c r="W4" s="13" t="s">
        <v>1988</v>
      </c>
      <c r="X4" s="13"/>
      <c r="Y4" s="13"/>
      <c r="Z4" s="14"/>
    </row>
    <row r="5" customFormat="false" ht="34.5" hidden="false" customHeight="true" outlineLevel="0" collapsed="false">
      <c r="A5" s="9" t="s">
        <v>2012</v>
      </c>
      <c r="B5" s="9" t="s">
        <v>67</v>
      </c>
      <c r="C5" s="9" t="s">
        <v>1549</v>
      </c>
      <c r="D5" s="9" t="s">
        <v>2013</v>
      </c>
      <c r="E5" s="9" t="s">
        <v>1138</v>
      </c>
      <c r="F5" s="9" t="s">
        <v>2002</v>
      </c>
      <c r="G5" s="11" t="n">
        <v>10</v>
      </c>
      <c r="H5" s="9" t="s">
        <v>73</v>
      </c>
      <c r="I5" s="9" t="s">
        <v>379</v>
      </c>
      <c r="J5" s="9" t="s">
        <v>1977</v>
      </c>
      <c r="K5" s="9"/>
      <c r="L5" s="13" t="n">
        <v>3</v>
      </c>
      <c r="M5" s="13" t="s">
        <v>2014</v>
      </c>
      <c r="N5" s="13" t="s">
        <v>2015</v>
      </c>
      <c r="O5" s="13" t="s">
        <v>2016</v>
      </c>
      <c r="P5" s="13" t="s">
        <v>2017</v>
      </c>
      <c r="Q5" s="13" t="s">
        <v>2018</v>
      </c>
      <c r="R5" s="13" t="s">
        <v>2019</v>
      </c>
      <c r="S5" s="13" t="s">
        <v>2020</v>
      </c>
      <c r="T5" s="13" t="s">
        <v>2021</v>
      </c>
      <c r="U5" s="13" t="s">
        <v>2022</v>
      </c>
      <c r="V5" s="13" t="s">
        <v>2023</v>
      </c>
      <c r="W5" s="13"/>
      <c r="X5" s="13"/>
      <c r="Y5" s="13"/>
      <c r="Z5" s="14"/>
    </row>
    <row r="6" customFormat="false" ht="45.75" hidden="false" customHeight="true" outlineLevel="0" collapsed="false">
      <c r="A6" s="9" t="s">
        <v>2024</v>
      </c>
      <c r="B6" s="9" t="s">
        <v>67</v>
      </c>
      <c r="C6" s="9" t="s">
        <v>1549</v>
      </c>
      <c r="D6" s="9" t="s">
        <v>2025</v>
      </c>
      <c r="E6" s="9" t="s">
        <v>1136</v>
      </c>
      <c r="F6" s="9" t="s">
        <v>2002</v>
      </c>
      <c r="G6" s="11" t="n">
        <v>40</v>
      </c>
      <c r="H6" s="9" t="s">
        <v>73</v>
      </c>
      <c r="I6" s="9" t="s">
        <v>2026</v>
      </c>
      <c r="J6" s="9" t="s">
        <v>1977</v>
      </c>
      <c r="K6" s="9"/>
      <c r="L6" s="13" t="n">
        <v>3</v>
      </c>
      <c r="M6" s="13" t="s">
        <v>2027</v>
      </c>
      <c r="N6" s="13" t="s">
        <v>2028</v>
      </c>
      <c r="O6" s="13" t="s">
        <v>2029</v>
      </c>
      <c r="P6" s="13" t="s">
        <v>2030</v>
      </c>
      <c r="Q6" s="13" t="s">
        <v>2031</v>
      </c>
      <c r="R6" s="13" t="s">
        <v>2032</v>
      </c>
      <c r="S6" s="13" t="s">
        <v>2033</v>
      </c>
      <c r="T6" s="13" t="s">
        <v>2034</v>
      </c>
      <c r="U6" s="13" t="s">
        <v>2035</v>
      </c>
      <c r="V6" s="13" t="s">
        <v>2036</v>
      </c>
      <c r="W6" s="13" t="s">
        <v>2000</v>
      </c>
      <c r="X6" s="13" t="s">
        <v>2037</v>
      </c>
      <c r="Y6" s="13" t="s">
        <v>2038</v>
      </c>
      <c r="Z6" s="14"/>
    </row>
    <row r="7" customFormat="false" ht="45.75" hidden="false" customHeight="true" outlineLevel="0" collapsed="false">
      <c r="A7" s="9" t="s">
        <v>2039</v>
      </c>
      <c r="B7" s="9" t="s">
        <v>67</v>
      </c>
      <c r="C7" s="9" t="s">
        <v>1549</v>
      </c>
      <c r="D7" s="9" t="s">
        <v>2040</v>
      </c>
      <c r="E7" s="9" t="s">
        <v>1137</v>
      </c>
      <c r="F7" s="9" t="s">
        <v>2002</v>
      </c>
      <c r="G7" s="11" t="n">
        <v>25</v>
      </c>
      <c r="H7" s="9" t="s">
        <v>73</v>
      </c>
      <c r="I7" s="9" t="s">
        <v>2026</v>
      </c>
      <c r="J7" s="9" t="s">
        <v>1977</v>
      </c>
      <c r="K7" s="9"/>
      <c r="L7" s="13" t="n">
        <v>3</v>
      </c>
      <c r="M7" s="13" t="s">
        <v>2041</v>
      </c>
      <c r="N7" s="13" t="s">
        <v>2042</v>
      </c>
      <c r="O7" s="13" t="s">
        <v>2043</v>
      </c>
      <c r="P7" s="13" t="s">
        <v>2044</v>
      </c>
      <c r="Q7" s="13" t="s">
        <v>2045</v>
      </c>
      <c r="R7" s="13" t="s">
        <v>2046</v>
      </c>
      <c r="S7" s="13" t="s">
        <v>2047</v>
      </c>
      <c r="T7" s="13" t="s">
        <v>2048</v>
      </c>
      <c r="U7" s="13" t="s">
        <v>2049</v>
      </c>
      <c r="V7" s="13" t="s">
        <v>2050</v>
      </c>
      <c r="W7" s="13" t="s">
        <v>2024</v>
      </c>
      <c r="X7" s="13" t="s">
        <v>2051</v>
      </c>
      <c r="Y7" s="13" t="s">
        <v>2052</v>
      </c>
      <c r="Z7" s="14"/>
    </row>
    <row r="8" customFormat="false" ht="34.5" hidden="false" customHeight="true" outlineLevel="0" collapsed="false">
      <c r="A8" s="9" t="s">
        <v>2053</v>
      </c>
      <c r="B8" s="9" t="s">
        <v>67</v>
      </c>
      <c r="C8" s="9" t="s">
        <v>1562</v>
      </c>
      <c r="D8" s="9" t="s">
        <v>2054</v>
      </c>
      <c r="E8" s="9" t="s">
        <v>1135</v>
      </c>
      <c r="F8" s="9" t="s">
        <v>1976</v>
      </c>
      <c r="G8" s="11" t="n">
        <v>60</v>
      </c>
      <c r="H8" s="9" t="s">
        <v>73</v>
      </c>
      <c r="I8" s="9" t="s">
        <v>2026</v>
      </c>
      <c r="J8" s="9" t="s">
        <v>1977</v>
      </c>
      <c r="K8" s="9"/>
      <c r="L8" s="13" t="n">
        <v>3</v>
      </c>
      <c r="M8" s="13" t="s">
        <v>2055</v>
      </c>
      <c r="N8" s="13" t="s">
        <v>2056</v>
      </c>
      <c r="O8" s="13" t="s">
        <v>2057</v>
      </c>
      <c r="P8" s="13" t="s">
        <v>2058</v>
      </c>
      <c r="Q8" s="13" t="s">
        <v>2059</v>
      </c>
      <c r="R8" s="13" t="s">
        <v>2060</v>
      </c>
      <c r="S8" s="13" t="s">
        <v>2061</v>
      </c>
      <c r="T8" s="13" t="s">
        <v>1997</v>
      </c>
      <c r="U8" s="13" t="s">
        <v>2062</v>
      </c>
      <c r="V8" s="13" t="s">
        <v>2063</v>
      </c>
      <c r="W8" s="13" t="s">
        <v>2000</v>
      </c>
      <c r="X8" s="13" t="s">
        <v>2064</v>
      </c>
      <c r="Y8" s="13" t="s">
        <v>2065</v>
      </c>
      <c r="Z8" s="14"/>
    </row>
    <row r="9" customFormat="false" ht="45.75" hidden="false" customHeight="true" outlineLevel="0" collapsed="false">
      <c r="A9" s="9" t="s">
        <v>2066</v>
      </c>
      <c r="B9" s="9" t="s">
        <v>67</v>
      </c>
      <c r="C9" s="9" t="s">
        <v>1575</v>
      </c>
      <c r="D9" s="9" t="s">
        <v>2067</v>
      </c>
      <c r="E9" s="9" t="s">
        <v>1136</v>
      </c>
      <c r="F9" s="9" t="s">
        <v>1976</v>
      </c>
      <c r="G9" s="11" t="n">
        <v>80</v>
      </c>
      <c r="H9" s="9" t="s">
        <v>73</v>
      </c>
      <c r="I9" s="9" t="s">
        <v>2026</v>
      </c>
      <c r="J9" s="9" t="s">
        <v>1977</v>
      </c>
      <c r="K9" s="9"/>
      <c r="L9" s="13" t="n">
        <v>3</v>
      </c>
      <c r="M9" s="13" t="s">
        <v>2068</v>
      </c>
      <c r="N9" s="13" t="s">
        <v>2069</v>
      </c>
      <c r="O9" s="13" t="s">
        <v>2070</v>
      </c>
      <c r="P9" s="13" t="s">
        <v>2071</v>
      </c>
      <c r="Q9" s="13" t="s">
        <v>2072</v>
      </c>
      <c r="R9" s="13" t="s">
        <v>2073</v>
      </c>
      <c r="S9" s="13" t="s">
        <v>2074</v>
      </c>
      <c r="T9" s="13" t="s">
        <v>2075</v>
      </c>
      <c r="U9" s="13" t="s">
        <v>2076</v>
      </c>
      <c r="V9" s="13" t="s">
        <v>2077</v>
      </c>
      <c r="W9" s="13" t="s">
        <v>1988</v>
      </c>
      <c r="X9" s="13"/>
      <c r="Y9" s="13"/>
      <c r="Z9" s="14"/>
    </row>
    <row r="10" customFormat="false" ht="45.75" hidden="false" customHeight="true" outlineLevel="0" collapsed="false">
      <c r="A10" s="9" t="s">
        <v>2078</v>
      </c>
      <c r="B10" s="9" t="s">
        <v>67</v>
      </c>
      <c r="C10" s="9" t="s">
        <v>1575</v>
      </c>
      <c r="D10" s="9" t="s">
        <v>2079</v>
      </c>
      <c r="E10" s="9" t="s">
        <v>1137</v>
      </c>
      <c r="F10" s="9" t="s">
        <v>2002</v>
      </c>
      <c r="G10" s="11" t="n">
        <v>20</v>
      </c>
      <c r="H10" s="9" t="s">
        <v>73</v>
      </c>
      <c r="I10" s="9" t="s">
        <v>2026</v>
      </c>
      <c r="J10" s="9" t="s">
        <v>1977</v>
      </c>
      <c r="K10" s="9"/>
      <c r="L10" s="13" t="n">
        <v>3</v>
      </c>
      <c r="M10" s="13" t="s">
        <v>2080</v>
      </c>
      <c r="N10" s="13" t="s">
        <v>2081</v>
      </c>
      <c r="O10" s="13" t="s">
        <v>2082</v>
      </c>
      <c r="P10" s="13" t="s">
        <v>2083</v>
      </c>
      <c r="Q10" s="13" t="s">
        <v>2084</v>
      </c>
      <c r="R10" s="13" t="s">
        <v>2085</v>
      </c>
      <c r="S10" s="13" t="s">
        <v>2086</v>
      </c>
      <c r="T10" s="13" t="s">
        <v>2087</v>
      </c>
      <c r="U10" s="13" t="s">
        <v>2088</v>
      </c>
      <c r="V10" s="13" t="s">
        <v>2089</v>
      </c>
      <c r="W10" s="13" t="s">
        <v>2066</v>
      </c>
      <c r="X10" s="13"/>
      <c r="Y10" s="13"/>
      <c r="Z10" s="14"/>
    </row>
    <row r="11" customFormat="false" ht="45.75" hidden="false" customHeight="true" outlineLevel="0" collapsed="false">
      <c r="A11" s="9" t="s">
        <v>2090</v>
      </c>
      <c r="B11" s="9" t="s">
        <v>67</v>
      </c>
      <c r="C11" s="9" t="s">
        <v>1549</v>
      </c>
      <c r="D11" s="9" t="s">
        <v>2091</v>
      </c>
      <c r="E11" s="9" t="s">
        <v>1133</v>
      </c>
      <c r="F11" s="9" t="s">
        <v>2002</v>
      </c>
      <c r="G11" s="11" t="n">
        <v>30</v>
      </c>
      <c r="H11" s="9" t="s">
        <v>73</v>
      </c>
      <c r="I11" s="9" t="s">
        <v>2026</v>
      </c>
      <c r="J11" s="9" t="s">
        <v>1977</v>
      </c>
      <c r="K11" s="9"/>
      <c r="L11" s="13" t="n">
        <v>3</v>
      </c>
      <c r="M11" s="13" t="s">
        <v>2092</v>
      </c>
      <c r="N11" s="13" t="s">
        <v>2093</v>
      </c>
      <c r="O11" s="13" t="s">
        <v>2094</v>
      </c>
      <c r="P11" s="13" t="s">
        <v>2095</v>
      </c>
      <c r="Q11" s="13" t="s">
        <v>2096</v>
      </c>
      <c r="R11" s="13" t="s">
        <v>2097</v>
      </c>
      <c r="S11" s="13" t="s">
        <v>2098</v>
      </c>
      <c r="T11" s="13" t="s">
        <v>2099</v>
      </c>
      <c r="U11" s="13" t="s">
        <v>2100</v>
      </c>
      <c r="V11" s="13" t="s">
        <v>2101</v>
      </c>
      <c r="W11" s="13" t="s">
        <v>2102</v>
      </c>
      <c r="X11" s="13" t="s">
        <v>2103</v>
      </c>
      <c r="Y11" s="13" t="s">
        <v>2104</v>
      </c>
      <c r="Z11" s="14"/>
    </row>
    <row r="12" customFormat="false" ht="45.75" hidden="false" customHeight="true" outlineLevel="0" collapsed="false">
      <c r="A12" s="9" t="s">
        <v>2105</v>
      </c>
      <c r="B12" s="9" t="s">
        <v>67</v>
      </c>
      <c r="C12" s="9" t="s">
        <v>1562</v>
      </c>
      <c r="D12" s="9" t="s">
        <v>2106</v>
      </c>
      <c r="E12" s="9" t="s">
        <v>1134</v>
      </c>
      <c r="F12" s="9" t="s">
        <v>1976</v>
      </c>
      <c r="G12" s="11" t="n">
        <v>60</v>
      </c>
      <c r="H12" s="9" t="s">
        <v>73</v>
      </c>
      <c r="I12" s="9" t="s">
        <v>2026</v>
      </c>
      <c r="J12" s="9" t="s">
        <v>1977</v>
      </c>
      <c r="K12" s="9"/>
      <c r="L12" s="13" t="n">
        <v>3</v>
      </c>
      <c r="M12" s="13" t="s">
        <v>2107</v>
      </c>
      <c r="N12" s="13" t="s">
        <v>2108</v>
      </c>
      <c r="O12" s="13" t="s">
        <v>2109</v>
      </c>
      <c r="P12" s="13" t="s">
        <v>2110</v>
      </c>
      <c r="Q12" s="13" t="s">
        <v>2111</v>
      </c>
      <c r="R12" s="13" t="s">
        <v>1133</v>
      </c>
      <c r="S12" s="13" t="s">
        <v>2112</v>
      </c>
      <c r="T12" s="13" t="s">
        <v>2113</v>
      </c>
      <c r="U12" s="13" t="s">
        <v>2114</v>
      </c>
      <c r="V12" s="13" t="s">
        <v>2115</v>
      </c>
      <c r="W12" s="13" t="s">
        <v>2053</v>
      </c>
      <c r="X12" s="13" t="s">
        <v>2116</v>
      </c>
      <c r="Y12" s="13" t="s">
        <v>2117</v>
      </c>
      <c r="Z12" s="14"/>
    </row>
    <row r="13" customFormat="false" ht="34.5" hidden="false" customHeight="true" outlineLevel="0" collapsed="false">
      <c r="A13" s="9" t="s">
        <v>2118</v>
      </c>
      <c r="B13" s="9" t="s">
        <v>67</v>
      </c>
      <c r="C13" s="9" t="s">
        <v>1575</v>
      </c>
      <c r="D13" s="9" t="s">
        <v>2119</v>
      </c>
      <c r="E13" s="9" t="s">
        <v>1138</v>
      </c>
      <c r="F13" s="9" t="s">
        <v>2002</v>
      </c>
      <c r="G13" s="11" t="n">
        <v>15</v>
      </c>
      <c r="H13" s="9" t="s">
        <v>73</v>
      </c>
      <c r="I13" s="9" t="s">
        <v>2026</v>
      </c>
      <c r="J13" s="9" t="s">
        <v>1977</v>
      </c>
      <c r="K13" s="9"/>
      <c r="L13" s="13" t="n">
        <v>3</v>
      </c>
      <c r="M13" s="13" t="s">
        <v>2120</v>
      </c>
      <c r="N13" s="13" t="s">
        <v>2121</v>
      </c>
      <c r="O13" s="13" t="s">
        <v>2122</v>
      </c>
      <c r="P13" s="13" t="s">
        <v>2123</v>
      </c>
      <c r="Q13" s="13" t="s">
        <v>2124</v>
      </c>
      <c r="R13" s="13" t="s">
        <v>2085</v>
      </c>
      <c r="S13" s="13" t="s">
        <v>2125</v>
      </c>
      <c r="T13" s="13" t="s">
        <v>2126</v>
      </c>
      <c r="U13" s="13" t="s">
        <v>2127</v>
      </c>
      <c r="V13" s="13" t="s">
        <v>2128</v>
      </c>
      <c r="W13" s="13"/>
      <c r="X13" s="13"/>
      <c r="Y13" s="13"/>
      <c r="Z13" s="14"/>
    </row>
    <row r="14" customFormat="false" ht="34.5" hidden="false" customHeight="true" outlineLevel="0" collapsed="false">
      <c r="A14" s="9" t="s">
        <v>2129</v>
      </c>
      <c r="B14" s="9" t="s">
        <v>67</v>
      </c>
      <c r="C14" s="9" t="s">
        <v>1587</v>
      </c>
      <c r="D14" s="9" t="s">
        <v>2130</v>
      </c>
      <c r="E14" s="9" t="s">
        <v>1140</v>
      </c>
      <c r="F14" s="9" t="s">
        <v>2002</v>
      </c>
      <c r="G14" s="11" t="n">
        <v>10</v>
      </c>
      <c r="H14" s="9" t="s">
        <v>73</v>
      </c>
      <c r="I14" s="9" t="s">
        <v>2026</v>
      </c>
      <c r="J14" s="9" t="s">
        <v>1977</v>
      </c>
      <c r="K14" s="9"/>
      <c r="L14" s="13" t="n">
        <v>3</v>
      </c>
      <c r="M14" s="13" t="s">
        <v>2131</v>
      </c>
      <c r="N14" s="13" t="s">
        <v>2132</v>
      </c>
      <c r="O14" s="13" t="s">
        <v>2133</v>
      </c>
      <c r="P14" s="13" t="s">
        <v>2134</v>
      </c>
      <c r="Q14" s="13" t="s">
        <v>2135</v>
      </c>
      <c r="R14" s="13" t="s">
        <v>2136</v>
      </c>
      <c r="S14" s="13" t="s">
        <v>2137</v>
      </c>
      <c r="T14" s="13" t="s">
        <v>2138</v>
      </c>
      <c r="U14" s="13" t="s">
        <v>2139</v>
      </c>
      <c r="V14" s="13" t="s">
        <v>2128</v>
      </c>
      <c r="W14" s="13" t="s">
        <v>2012</v>
      </c>
      <c r="X14" s="13"/>
      <c r="Y14" s="13"/>
      <c r="Z14" s="14"/>
    </row>
    <row r="15" customFormat="false" ht="23.25" hidden="false" customHeight="true" outlineLevel="0" collapsed="false">
      <c r="A15" s="9" t="s">
        <v>2140</v>
      </c>
      <c r="B15" s="9" t="s">
        <v>67</v>
      </c>
      <c r="C15" s="9" t="s">
        <v>1587</v>
      </c>
      <c r="D15" s="9" t="s">
        <v>2141</v>
      </c>
      <c r="E15" s="9" t="s">
        <v>1139</v>
      </c>
      <c r="F15" s="9" t="s">
        <v>2002</v>
      </c>
      <c r="G15" s="11" t="n">
        <v>0</v>
      </c>
      <c r="H15" s="9" t="s">
        <v>73</v>
      </c>
      <c r="I15" s="9" t="s">
        <v>2026</v>
      </c>
      <c r="J15" s="9" t="s">
        <v>1977</v>
      </c>
      <c r="K15" s="9"/>
      <c r="L15" s="13" t="n">
        <v>3</v>
      </c>
      <c r="M15" s="13" t="s">
        <v>2142</v>
      </c>
      <c r="N15" s="13" t="s">
        <v>2143</v>
      </c>
      <c r="O15" s="13" t="s">
        <v>2144</v>
      </c>
      <c r="P15" s="13" t="s">
        <v>2145</v>
      </c>
      <c r="Q15" s="13" t="s">
        <v>2146</v>
      </c>
      <c r="R15" s="13" t="s">
        <v>2147</v>
      </c>
      <c r="S15" s="13" t="s">
        <v>2148</v>
      </c>
      <c r="T15" s="13" t="s">
        <v>2099</v>
      </c>
      <c r="U15" s="13" t="s">
        <v>2149</v>
      </c>
      <c r="V15" s="13" t="s">
        <v>2128</v>
      </c>
      <c r="W15" s="13"/>
      <c r="X15" s="13"/>
      <c r="Y15" s="13"/>
      <c r="Z15" s="14"/>
    </row>
    <row r="16" customFormat="false" ht="45.75" hidden="false" customHeight="true" outlineLevel="0" collapsed="false">
      <c r="A16" s="9" t="s">
        <v>2150</v>
      </c>
      <c r="B16" s="9" t="s">
        <v>67</v>
      </c>
      <c r="C16" s="9" t="s">
        <v>1562</v>
      </c>
      <c r="D16" s="9" t="s">
        <v>2151</v>
      </c>
      <c r="E16" s="9" t="s">
        <v>1134</v>
      </c>
      <c r="F16" s="9" t="s">
        <v>1976</v>
      </c>
      <c r="G16" s="11" t="n">
        <v>120</v>
      </c>
      <c r="H16" s="9" t="s">
        <v>73</v>
      </c>
      <c r="I16" s="9" t="s">
        <v>417</v>
      </c>
      <c r="J16" s="9" t="s">
        <v>1977</v>
      </c>
      <c r="K16" s="9"/>
      <c r="L16" s="13" t="n">
        <v>4</v>
      </c>
      <c r="M16" s="13" t="s">
        <v>2152</v>
      </c>
      <c r="N16" s="13" t="s">
        <v>2153</v>
      </c>
      <c r="O16" s="13" t="s">
        <v>2154</v>
      </c>
      <c r="P16" s="13" t="s">
        <v>2155</v>
      </c>
      <c r="Q16" s="13" t="s">
        <v>2156</v>
      </c>
      <c r="R16" s="13" t="s">
        <v>2157</v>
      </c>
      <c r="S16" s="13" t="s">
        <v>2158</v>
      </c>
      <c r="T16" s="13" t="s">
        <v>2159</v>
      </c>
      <c r="U16" s="13" t="s">
        <v>2160</v>
      </c>
      <c r="V16" s="13" t="s">
        <v>2161</v>
      </c>
      <c r="W16" s="13" t="s">
        <v>2162</v>
      </c>
      <c r="X16" s="13" t="s">
        <v>2163</v>
      </c>
      <c r="Y16" s="13" t="s">
        <v>2164</v>
      </c>
      <c r="Z16" s="14"/>
    </row>
    <row r="17" customFormat="false" ht="34.5" hidden="false" customHeight="true" outlineLevel="0" collapsed="false">
      <c r="A17" s="9" t="s">
        <v>2165</v>
      </c>
      <c r="B17" s="9" t="s">
        <v>67</v>
      </c>
      <c r="C17" s="9" t="s">
        <v>1562</v>
      </c>
      <c r="D17" s="9" t="s">
        <v>2166</v>
      </c>
      <c r="E17" s="9" t="s">
        <v>1133</v>
      </c>
      <c r="F17" s="9" t="s">
        <v>1976</v>
      </c>
      <c r="G17" s="11" t="n">
        <v>100</v>
      </c>
      <c r="H17" s="9" t="s">
        <v>73</v>
      </c>
      <c r="I17" s="9" t="s">
        <v>417</v>
      </c>
      <c r="J17" s="9" t="s">
        <v>1977</v>
      </c>
      <c r="K17" s="9"/>
      <c r="L17" s="13" t="n">
        <v>5</v>
      </c>
      <c r="M17" s="13" t="s">
        <v>2167</v>
      </c>
      <c r="N17" s="13" t="s">
        <v>2168</v>
      </c>
      <c r="O17" s="13" t="s">
        <v>2169</v>
      </c>
      <c r="P17" s="13" t="s">
        <v>2170</v>
      </c>
      <c r="Q17" s="13" t="s">
        <v>2171</v>
      </c>
      <c r="R17" s="13" t="s">
        <v>2172</v>
      </c>
      <c r="S17" s="13" t="s">
        <v>2173</v>
      </c>
      <c r="T17" s="13" t="s">
        <v>2099</v>
      </c>
      <c r="U17" s="13" t="s">
        <v>2174</v>
      </c>
      <c r="V17" s="13" t="s">
        <v>2101</v>
      </c>
      <c r="W17" s="13" t="s">
        <v>2150</v>
      </c>
      <c r="X17" s="13"/>
      <c r="Y17" s="13"/>
      <c r="Z17" s="14"/>
    </row>
    <row r="18" customFormat="false" ht="45.75" hidden="false" customHeight="true" outlineLevel="0" collapsed="false">
      <c r="A18" s="9" t="s">
        <v>2175</v>
      </c>
      <c r="B18" s="9" t="s">
        <v>87</v>
      </c>
      <c r="C18" s="9" t="s">
        <v>1600</v>
      </c>
      <c r="D18" s="9" t="s">
        <v>2176</v>
      </c>
      <c r="E18" s="9" t="s">
        <v>1134</v>
      </c>
      <c r="F18" s="9" t="s">
        <v>1976</v>
      </c>
      <c r="G18" s="11" t="n">
        <v>60</v>
      </c>
      <c r="H18" s="9" t="s">
        <v>73</v>
      </c>
      <c r="I18" s="9" t="s">
        <v>379</v>
      </c>
      <c r="J18" s="9" t="s">
        <v>1977</v>
      </c>
      <c r="K18" s="9"/>
      <c r="L18" s="13" t="n">
        <v>1</v>
      </c>
      <c r="M18" s="13" t="s">
        <v>2177</v>
      </c>
      <c r="N18" s="13" t="s">
        <v>2178</v>
      </c>
      <c r="O18" s="13" t="s">
        <v>2179</v>
      </c>
      <c r="P18" s="13" t="s">
        <v>2180</v>
      </c>
      <c r="Q18" s="13" t="s">
        <v>2181</v>
      </c>
      <c r="R18" s="13" t="s">
        <v>2182</v>
      </c>
      <c r="S18" s="13" t="s">
        <v>2183</v>
      </c>
      <c r="T18" s="13" t="s">
        <v>2184</v>
      </c>
      <c r="U18" s="13" t="s">
        <v>2185</v>
      </c>
      <c r="V18" s="13" t="s">
        <v>2186</v>
      </c>
      <c r="W18" s="13"/>
      <c r="X18" s="13"/>
      <c r="Y18" s="13"/>
      <c r="Z18" s="14"/>
    </row>
    <row r="19" customFormat="false" ht="45.75" hidden="false" customHeight="true" outlineLevel="0" collapsed="false">
      <c r="A19" s="9" t="s">
        <v>2187</v>
      </c>
      <c r="B19" s="9" t="s">
        <v>87</v>
      </c>
      <c r="C19" s="9" t="s">
        <v>1600</v>
      </c>
      <c r="D19" s="9" t="s">
        <v>2188</v>
      </c>
      <c r="E19" s="9" t="s">
        <v>1135</v>
      </c>
      <c r="F19" s="9" t="s">
        <v>2002</v>
      </c>
      <c r="G19" s="11" t="n">
        <v>15</v>
      </c>
      <c r="H19" s="9" t="s">
        <v>73</v>
      </c>
      <c r="I19" s="9" t="s">
        <v>2026</v>
      </c>
      <c r="J19" s="9" t="s">
        <v>1977</v>
      </c>
      <c r="K19" s="9"/>
      <c r="L19" s="13" t="n">
        <v>1</v>
      </c>
      <c r="M19" s="13" t="s">
        <v>2189</v>
      </c>
      <c r="N19" s="13" t="s">
        <v>2190</v>
      </c>
      <c r="O19" s="13" t="s">
        <v>2191</v>
      </c>
      <c r="P19" s="13" t="s">
        <v>2192</v>
      </c>
      <c r="Q19" s="13" t="s">
        <v>2193</v>
      </c>
      <c r="R19" s="13" t="s">
        <v>2194</v>
      </c>
      <c r="S19" s="13" t="s">
        <v>2195</v>
      </c>
      <c r="T19" s="13" t="s">
        <v>2196</v>
      </c>
      <c r="U19" s="13" t="s">
        <v>2197</v>
      </c>
      <c r="V19" s="13" t="s">
        <v>2198</v>
      </c>
      <c r="W19" s="13" t="s">
        <v>2175</v>
      </c>
      <c r="X19" s="13" t="s">
        <v>2199</v>
      </c>
      <c r="Y19" s="13" t="s">
        <v>2200</v>
      </c>
      <c r="Z19" s="14"/>
    </row>
    <row r="20" customFormat="false" ht="45.75" hidden="false" customHeight="true" outlineLevel="0" collapsed="false">
      <c r="A20" s="9" t="s">
        <v>2201</v>
      </c>
      <c r="B20" s="9" t="s">
        <v>87</v>
      </c>
      <c r="C20" s="9" t="s">
        <v>1600</v>
      </c>
      <c r="D20" s="9" t="s">
        <v>2202</v>
      </c>
      <c r="E20" s="9" t="s">
        <v>1135</v>
      </c>
      <c r="F20" s="9" t="s">
        <v>2002</v>
      </c>
      <c r="G20" s="11" t="n">
        <v>15</v>
      </c>
      <c r="H20" s="9" t="s">
        <v>73</v>
      </c>
      <c r="I20" s="9" t="s">
        <v>2026</v>
      </c>
      <c r="J20" s="9" t="s">
        <v>1977</v>
      </c>
      <c r="K20" s="9"/>
      <c r="L20" s="13" t="n">
        <v>1</v>
      </c>
      <c r="M20" s="13" t="s">
        <v>2203</v>
      </c>
      <c r="N20" s="13" t="s">
        <v>2204</v>
      </c>
      <c r="O20" s="13" t="s">
        <v>2205</v>
      </c>
      <c r="P20" s="13" t="s">
        <v>2206</v>
      </c>
      <c r="Q20" s="13" t="s">
        <v>2207</v>
      </c>
      <c r="R20" s="13" t="s">
        <v>2208</v>
      </c>
      <c r="S20" s="13" t="s">
        <v>2209</v>
      </c>
      <c r="T20" s="13" t="s">
        <v>2210</v>
      </c>
      <c r="U20" s="13" t="s">
        <v>2211</v>
      </c>
      <c r="V20" s="13" t="s">
        <v>2212</v>
      </c>
      <c r="W20" s="13" t="s">
        <v>2175</v>
      </c>
      <c r="X20" s="13" t="s">
        <v>2213</v>
      </c>
      <c r="Y20" s="13" t="s">
        <v>2214</v>
      </c>
      <c r="Z20" s="14"/>
    </row>
    <row r="21" customFormat="false" ht="45.75" hidden="false" customHeight="true" outlineLevel="0" collapsed="false">
      <c r="A21" s="9" t="s">
        <v>2215</v>
      </c>
      <c r="B21" s="9" t="s">
        <v>87</v>
      </c>
      <c r="C21" s="9" t="s">
        <v>1600</v>
      </c>
      <c r="D21" s="9" t="s">
        <v>2216</v>
      </c>
      <c r="E21" s="9" t="s">
        <v>1137</v>
      </c>
      <c r="F21" s="9" t="s">
        <v>2002</v>
      </c>
      <c r="G21" s="11" t="n">
        <v>15</v>
      </c>
      <c r="H21" s="9" t="s">
        <v>73</v>
      </c>
      <c r="I21" s="9" t="s">
        <v>2026</v>
      </c>
      <c r="J21" s="9" t="s">
        <v>1977</v>
      </c>
      <c r="K21" s="9"/>
      <c r="L21" s="13" t="n">
        <v>1</v>
      </c>
      <c r="M21" s="13" t="s">
        <v>2217</v>
      </c>
      <c r="N21" s="13" t="s">
        <v>2218</v>
      </c>
      <c r="O21" s="13" t="s">
        <v>2219</v>
      </c>
      <c r="P21" s="13" t="s">
        <v>2220</v>
      </c>
      <c r="Q21" s="13" t="s">
        <v>2221</v>
      </c>
      <c r="R21" s="13" t="s">
        <v>2222</v>
      </c>
      <c r="S21" s="13" t="s">
        <v>2223</v>
      </c>
      <c r="T21" s="13" t="s">
        <v>2224</v>
      </c>
      <c r="U21" s="13" t="s">
        <v>2225</v>
      </c>
      <c r="V21" s="13" t="s">
        <v>2226</v>
      </c>
      <c r="W21" s="13" t="s">
        <v>2175</v>
      </c>
      <c r="X21" s="13"/>
      <c r="Y21" s="13"/>
      <c r="Z21" s="14"/>
    </row>
    <row r="22" customFormat="false" ht="45.75" hidden="false" customHeight="true" outlineLevel="0" collapsed="false">
      <c r="A22" s="9" t="s">
        <v>2227</v>
      </c>
      <c r="B22" s="9" t="s">
        <v>87</v>
      </c>
      <c r="C22" s="9" t="s">
        <v>1600</v>
      </c>
      <c r="D22" s="9" t="s">
        <v>2228</v>
      </c>
      <c r="E22" s="9" t="s">
        <v>1136</v>
      </c>
      <c r="F22" s="9" t="s">
        <v>1976</v>
      </c>
      <c r="G22" s="11" t="n">
        <v>60</v>
      </c>
      <c r="H22" s="9" t="s">
        <v>73</v>
      </c>
      <c r="I22" s="9" t="s">
        <v>2026</v>
      </c>
      <c r="J22" s="9" t="s">
        <v>1977</v>
      </c>
      <c r="K22" s="9"/>
      <c r="L22" s="13" t="n">
        <v>1</v>
      </c>
      <c r="M22" s="13" t="s">
        <v>2229</v>
      </c>
      <c r="N22" s="13" t="s">
        <v>2230</v>
      </c>
      <c r="O22" s="13" t="s">
        <v>2231</v>
      </c>
      <c r="P22" s="13" t="s">
        <v>2232</v>
      </c>
      <c r="Q22" s="13" t="s">
        <v>2233</v>
      </c>
      <c r="R22" s="13" t="s">
        <v>2234</v>
      </c>
      <c r="S22" s="13" t="s">
        <v>2235</v>
      </c>
      <c r="T22" s="13" t="s">
        <v>2236</v>
      </c>
      <c r="U22" s="13" t="s">
        <v>2237</v>
      </c>
      <c r="V22" s="13" t="s">
        <v>2238</v>
      </c>
      <c r="W22" s="13" t="s">
        <v>2175</v>
      </c>
      <c r="X22" s="13" t="s">
        <v>2239</v>
      </c>
      <c r="Y22" s="13" t="s">
        <v>2240</v>
      </c>
      <c r="Z22" s="14"/>
    </row>
    <row r="23" customFormat="false" ht="45.75" hidden="false" customHeight="true" outlineLevel="0" collapsed="false">
      <c r="A23" s="9" t="s">
        <v>2241</v>
      </c>
      <c r="B23" s="9" t="s">
        <v>87</v>
      </c>
      <c r="C23" s="9" t="s">
        <v>1600</v>
      </c>
      <c r="D23" s="9" t="s">
        <v>2242</v>
      </c>
      <c r="E23" s="9" t="s">
        <v>1138</v>
      </c>
      <c r="F23" s="9" t="s">
        <v>2002</v>
      </c>
      <c r="G23" s="11" t="n">
        <v>10</v>
      </c>
      <c r="H23" s="9" t="s">
        <v>73</v>
      </c>
      <c r="I23" s="9" t="s">
        <v>2026</v>
      </c>
      <c r="J23" s="9" t="s">
        <v>1977</v>
      </c>
      <c r="K23" s="9"/>
      <c r="L23" s="13" t="n">
        <v>1</v>
      </c>
      <c r="M23" s="13" t="s">
        <v>2243</v>
      </c>
      <c r="N23" s="13" t="s">
        <v>2244</v>
      </c>
      <c r="O23" s="13" t="s">
        <v>2245</v>
      </c>
      <c r="P23" s="13" t="s">
        <v>2246</v>
      </c>
      <c r="Q23" s="13" t="s">
        <v>2247</v>
      </c>
      <c r="R23" s="13" t="s">
        <v>2248</v>
      </c>
      <c r="S23" s="13" t="s">
        <v>2249</v>
      </c>
      <c r="T23" s="13" t="s">
        <v>2250</v>
      </c>
      <c r="U23" s="13" t="s">
        <v>2251</v>
      </c>
      <c r="V23" s="13" t="s">
        <v>2128</v>
      </c>
      <c r="W23" s="13"/>
      <c r="X23" s="13"/>
      <c r="Y23" s="13"/>
      <c r="Z23" s="14"/>
    </row>
    <row r="24" customFormat="false" ht="34.5" hidden="false" customHeight="true" outlineLevel="0" collapsed="false">
      <c r="A24" s="9" t="s">
        <v>2252</v>
      </c>
      <c r="B24" s="9" t="s">
        <v>87</v>
      </c>
      <c r="C24" s="9" t="s">
        <v>1600</v>
      </c>
      <c r="D24" s="9" t="s">
        <v>2253</v>
      </c>
      <c r="E24" s="9" t="s">
        <v>1139</v>
      </c>
      <c r="F24" s="9" t="s">
        <v>2002</v>
      </c>
      <c r="G24" s="11" t="n">
        <v>0</v>
      </c>
      <c r="H24" s="9" t="s">
        <v>73</v>
      </c>
      <c r="I24" s="9" t="s">
        <v>2026</v>
      </c>
      <c r="J24" s="9" t="s">
        <v>1977</v>
      </c>
      <c r="K24" s="9"/>
      <c r="L24" s="13" t="n">
        <v>1</v>
      </c>
      <c r="M24" s="13" t="s">
        <v>2254</v>
      </c>
      <c r="N24" s="13" t="s">
        <v>2255</v>
      </c>
      <c r="O24" s="13" t="s">
        <v>2256</v>
      </c>
      <c r="P24" s="13" t="s">
        <v>2145</v>
      </c>
      <c r="Q24" s="13" t="s">
        <v>2257</v>
      </c>
      <c r="R24" s="13" t="s">
        <v>2147</v>
      </c>
      <c r="S24" s="13" t="s">
        <v>2258</v>
      </c>
      <c r="T24" s="13" t="s">
        <v>2259</v>
      </c>
      <c r="U24" s="13" t="s">
        <v>2260</v>
      </c>
      <c r="V24" s="13" t="s">
        <v>2128</v>
      </c>
      <c r="W24" s="13"/>
      <c r="X24" s="13"/>
      <c r="Y24" s="13"/>
      <c r="Z24" s="14"/>
    </row>
    <row r="25" customFormat="false" ht="57" hidden="false" customHeight="true" outlineLevel="0" collapsed="false">
      <c r="A25" s="9" t="s">
        <v>2261</v>
      </c>
      <c r="B25" s="9" t="s">
        <v>87</v>
      </c>
      <c r="C25" s="9" t="s">
        <v>1600</v>
      </c>
      <c r="D25" s="9" t="s">
        <v>2262</v>
      </c>
      <c r="E25" s="9" t="s">
        <v>1133</v>
      </c>
      <c r="F25" s="9" t="s">
        <v>1976</v>
      </c>
      <c r="G25" s="11" t="n">
        <v>50</v>
      </c>
      <c r="H25" s="9" t="s">
        <v>73</v>
      </c>
      <c r="I25" s="9" t="s">
        <v>2026</v>
      </c>
      <c r="J25" s="9" t="s">
        <v>1977</v>
      </c>
      <c r="K25" s="9"/>
      <c r="L25" s="13" t="n">
        <v>1</v>
      </c>
      <c r="M25" s="13" t="s">
        <v>2263</v>
      </c>
      <c r="N25" s="13" t="s">
        <v>2264</v>
      </c>
      <c r="O25" s="13" t="s">
        <v>2265</v>
      </c>
      <c r="P25" s="13" t="s">
        <v>2266</v>
      </c>
      <c r="Q25" s="13" t="s">
        <v>2267</v>
      </c>
      <c r="R25" s="13" t="s">
        <v>2182</v>
      </c>
      <c r="S25" s="13" t="s">
        <v>2268</v>
      </c>
      <c r="T25" s="13" t="s">
        <v>2269</v>
      </c>
      <c r="U25" s="13" t="s">
        <v>2270</v>
      </c>
      <c r="V25" s="13" t="s">
        <v>2271</v>
      </c>
      <c r="W25" s="13" t="s">
        <v>2187</v>
      </c>
      <c r="X25" s="13" t="s">
        <v>2272</v>
      </c>
      <c r="Y25" s="13" t="s">
        <v>2273</v>
      </c>
      <c r="Z25" s="14"/>
    </row>
    <row r="26" customFormat="false" ht="45.75" hidden="false" customHeight="true" outlineLevel="0" collapsed="false">
      <c r="A26" s="9" t="s">
        <v>2274</v>
      </c>
      <c r="B26" s="9" t="s">
        <v>87</v>
      </c>
      <c r="C26" s="9" t="s">
        <v>1600</v>
      </c>
      <c r="D26" s="9" t="s">
        <v>2275</v>
      </c>
      <c r="E26" s="9" t="s">
        <v>1134</v>
      </c>
      <c r="F26" s="9" t="s">
        <v>1976</v>
      </c>
      <c r="G26" s="11" t="n">
        <v>60</v>
      </c>
      <c r="H26" s="9" t="s">
        <v>73</v>
      </c>
      <c r="I26" s="9" t="s">
        <v>2026</v>
      </c>
      <c r="J26" s="9" t="s">
        <v>1977</v>
      </c>
      <c r="K26" s="9"/>
      <c r="L26" s="13" t="n">
        <v>1</v>
      </c>
      <c r="M26" s="13" t="s">
        <v>2276</v>
      </c>
      <c r="N26" s="13" t="s">
        <v>2277</v>
      </c>
      <c r="O26" s="13" t="s">
        <v>2278</v>
      </c>
      <c r="P26" s="13" t="s">
        <v>2279</v>
      </c>
      <c r="Q26" s="13" t="s">
        <v>2280</v>
      </c>
      <c r="R26" s="13" t="s">
        <v>2172</v>
      </c>
      <c r="S26" s="13" t="s">
        <v>2281</v>
      </c>
      <c r="T26" s="13" t="s">
        <v>2282</v>
      </c>
      <c r="U26" s="13" t="s">
        <v>2283</v>
      </c>
      <c r="V26" s="13" t="s">
        <v>2284</v>
      </c>
      <c r="W26" s="13" t="s">
        <v>2285</v>
      </c>
      <c r="X26" s="13"/>
      <c r="Y26" s="13"/>
      <c r="Z26" s="14"/>
    </row>
    <row r="27" customFormat="false" ht="34.5" hidden="false" customHeight="true" outlineLevel="0" collapsed="false">
      <c r="A27" s="9" t="s">
        <v>2286</v>
      </c>
      <c r="B27" s="9" t="s">
        <v>87</v>
      </c>
      <c r="C27" s="9" t="s">
        <v>1600</v>
      </c>
      <c r="D27" s="9" t="s">
        <v>2287</v>
      </c>
      <c r="E27" s="9" t="s">
        <v>1140</v>
      </c>
      <c r="F27" s="9" t="s">
        <v>2002</v>
      </c>
      <c r="G27" s="11" t="n">
        <v>10</v>
      </c>
      <c r="H27" s="9" t="s">
        <v>73</v>
      </c>
      <c r="I27" s="9" t="s">
        <v>2026</v>
      </c>
      <c r="J27" s="9" t="s">
        <v>1977</v>
      </c>
      <c r="K27" s="9"/>
      <c r="L27" s="13" t="n">
        <v>1</v>
      </c>
      <c r="M27" s="13" t="s">
        <v>2288</v>
      </c>
      <c r="N27" s="13" t="s">
        <v>2289</v>
      </c>
      <c r="O27" s="13" t="s">
        <v>2290</v>
      </c>
      <c r="P27" s="13" t="s">
        <v>2291</v>
      </c>
      <c r="Q27" s="13" t="s">
        <v>2292</v>
      </c>
      <c r="R27" s="13" t="s">
        <v>2194</v>
      </c>
      <c r="S27" s="13" t="s">
        <v>2293</v>
      </c>
      <c r="T27" s="13" t="s">
        <v>2294</v>
      </c>
      <c r="U27" s="13" t="s">
        <v>2139</v>
      </c>
      <c r="V27" s="13" t="s">
        <v>2128</v>
      </c>
      <c r="W27" s="13" t="s">
        <v>2175</v>
      </c>
      <c r="X27" s="13"/>
      <c r="Y27" s="13"/>
      <c r="Z27" s="14"/>
    </row>
    <row r="28" customFormat="false" ht="45.75" hidden="false" customHeight="true" outlineLevel="0" collapsed="false">
      <c r="A28" s="9" t="s">
        <v>2295</v>
      </c>
      <c r="B28" s="9" t="s">
        <v>87</v>
      </c>
      <c r="C28" s="9" t="s">
        <v>1600</v>
      </c>
      <c r="D28" s="9" t="s">
        <v>2296</v>
      </c>
      <c r="E28" s="9" t="s">
        <v>1135</v>
      </c>
      <c r="F28" s="9" t="s">
        <v>1976</v>
      </c>
      <c r="G28" s="11" t="n">
        <v>60</v>
      </c>
      <c r="H28" s="9" t="s">
        <v>73</v>
      </c>
      <c r="I28" s="9" t="s">
        <v>417</v>
      </c>
      <c r="J28" s="9" t="s">
        <v>1977</v>
      </c>
      <c r="K28" s="9"/>
      <c r="L28" s="13" t="n">
        <v>2</v>
      </c>
      <c r="M28" s="13" t="s">
        <v>2297</v>
      </c>
      <c r="N28" s="13" t="s">
        <v>2298</v>
      </c>
      <c r="O28" s="13" t="s">
        <v>2299</v>
      </c>
      <c r="P28" s="13" t="s">
        <v>2300</v>
      </c>
      <c r="Q28" s="13" t="s">
        <v>2301</v>
      </c>
      <c r="R28" s="13" t="s">
        <v>2302</v>
      </c>
      <c r="S28" s="13" t="s">
        <v>2303</v>
      </c>
      <c r="T28" s="13" t="s">
        <v>2304</v>
      </c>
      <c r="U28" s="13" t="s">
        <v>2305</v>
      </c>
      <c r="V28" s="13" t="s">
        <v>2306</v>
      </c>
      <c r="W28" s="13" t="s">
        <v>2307</v>
      </c>
      <c r="X28" s="13" t="s">
        <v>2308</v>
      </c>
      <c r="Y28" s="13" t="s">
        <v>2309</v>
      </c>
      <c r="Z28" s="14"/>
    </row>
    <row r="29" customFormat="false" ht="45.75" hidden="false" customHeight="true" outlineLevel="0" collapsed="false">
      <c r="A29" s="9" t="s">
        <v>2310</v>
      </c>
      <c r="B29" s="9" t="s">
        <v>87</v>
      </c>
      <c r="C29" s="9" t="s">
        <v>1600</v>
      </c>
      <c r="D29" s="9" t="s">
        <v>2311</v>
      </c>
      <c r="E29" s="9" t="s">
        <v>1135</v>
      </c>
      <c r="F29" s="9" t="s">
        <v>2312</v>
      </c>
      <c r="G29" s="11" t="n">
        <v>250</v>
      </c>
      <c r="H29" s="9" t="s">
        <v>73</v>
      </c>
      <c r="I29" s="9" t="s">
        <v>417</v>
      </c>
      <c r="J29" s="9" t="s">
        <v>1977</v>
      </c>
      <c r="K29" s="9"/>
      <c r="L29" s="13" t="n">
        <v>2</v>
      </c>
      <c r="M29" s="13" t="s">
        <v>2313</v>
      </c>
      <c r="N29" s="13" t="s">
        <v>2314</v>
      </c>
      <c r="O29" s="13" t="s">
        <v>2315</v>
      </c>
      <c r="P29" s="13" t="s">
        <v>2316</v>
      </c>
      <c r="Q29" s="13" t="s">
        <v>2317</v>
      </c>
      <c r="R29" s="13" t="s">
        <v>2318</v>
      </c>
      <c r="S29" s="13" t="s">
        <v>2319</v>
      </c>
      <c r="T29" s="13" t="s">
        <v>2320</v>
      </c>
      <c r="U29" s="13" t="s">
        <v>2321</v>
      </c>
      <c r="V29" s="13" t="s">
        <v>2322</v>
      </c>
      <c r="W29" s="13" t="s">
        <v>2295</v>
      </c>
      <c r="X29" s="13"/>
      <c r="Y29" s="13"/>
      <c r="Z29" s="14"/>
    </row>
    <row r="30" customFormat="false" ht="45.75" hidden="false" customHeight="true" outlineLevel="0" collapsed="false">
      <c r="A30" s="9" t="s">
        <v>2323</v>
      </c>
      <c r="B30" s="9" t="s">
        <v>87</v>
      </c>
      <c r="C30" s="9" t="s">
        <v>1600</v>
      </c>
      <c r="D30" s="9" t="s">
        <v>2324</v>
      </c>
      <c r="E30" s="9" t="s">
        <v>1137</v>
      </c>
      <c r="F30" s="9" t="s">
        <v>1976</v>
      </c>
      <c r="G30" s="11" t="n">
        <v>100</v>
      </c>
      <c r="H30" s="9" t="s">
        <v>73</v>
      </c>
      <c r="I30" s="9" t="s">
        <v>417</v>
      </c>
      <c r="J30" s="9" t="s">
        <v>1977</v>
      </c>
      <c r="K30" s="9"/>
      <c r="L30" s="13" t="n">
        <v>3</v>
      </c>
      <c r="M30" s="13" t="s">
        <v>2325</v>
      </c>
      <c r="N30" s="13" t="s">
        <v>2326</v>
      </c>
      <c r="O30" s="13" t="s">
        <v>2327</v>
      </c>
      <c r="P30" s="13" t="s">
        <v>2328</v>
      </c>
      <c r="Q30" s="13" t="s">
        <v>2329</v>
      </c>
      <c r="R30" s="13" t="s">
        <v>2330</v>
      </c>
      <c r="S30" s="13" t="s">
        <v>2331</v>
      </c>
      <c r="T30" s="13" t="s">
        <v>2332</v>
      </c>
      <c r="U30" s="13" t="s">
        <v>2333</v>
      </c>
      <c r="V30" s="13" t="s">
        <v>2334</v>
      </c>
      <c r="W30" s="13" t="s">
        <v>2310</v>
      </c>
      <c r="X30" s="13"/>
      <c r="Y30" s="13"/>
      <c r="Z30" s="14"/>
    </row>
    <row r="31" customFormat="false" ht="45.75" hidden="false" customHeight="true" outlineLevel="0" collapsed="false">
      <c r="A31" s="9" t="s">
        <v>2335</v>
      </c>
      <c r="B31" s="9" t="s">
        <v>87</v>
      </c>
      <c r="C31" s="9" t="s">
        <v>1600</v>
      </c>
      <c r="D31" s="9" t="s">
        <v>2336</v>
      </c>
      <c r="E31" s="9" t="s">
        <v>1137</v>
      </c>
      <c r="F31" s="9" t="s">
        <v>1976</v>
      </c>
      <c r="G31" s="11" t="n">
        <v>80</v>
      </c>
      <c r="H31" s="9" t="s">
        <v>73</v>
      </c>
      <c r="I31" s="9" t="s">
        <v>417</v>
      </c>
      <c r="J31" s="9" t="s">
        <v>1977</v>
      </c>
      <c r="K31" s="9"/>
      <c r="L31" s="13" t="n">
        <v>3</v>
      </c>
      <c r="M31" s="13" t="s">
        <v>2337</v>
      </c>
      <c r="N31" s="13" t="s">
        <v>2338</v>
      </c>
      <c r="O31" s="13" t="s">
        <v>2339</v>
      </c>
      <c r="P31" s="13" t="s">
        <v>2340</v>
      </c>
      <c r="Q31" s="13" t="s">
        <v>2341</v>
      </c>
      <c r="R31" s="13" t="s">
        <v>2342</v>
      </c>
      <c r="S31" s="13" t="s">
        <v>2343</v>
      </c>
      <c r="T31" s="13" t="s">
        <v>2344</v>
      </c>
      <c r="U31" s="13" t="s">
        <v>2345</v>
      </c>
      <c r="V31" s="13" t="s">
        <v>2346</v>
      </c>
      <c r="W31" s="13" t="s">
        <v>2323</v>
      </c>
      <c r="X31" s="13" t="s">
        <v>2347</v>
      </c>
      <c r="Y31" s="13" t="s">
        <v>2348</v>
      </c>
      <c r="Z31" s="14"/>
    </row>
    <row r="32" customFormat="false" ht="45.75" hidden="false" customHeight="true" outlineLevel="0" collapsed="false">
      <c r="A32" s="9" t="s">
        <v>2349</v>
      </c>
      <c r="B32" s="9" t="s">
        <v>87</v>
      </c>
      <c r="C32" s="9" t="s">
        <v>1600</v>
      </c>
      <c r="D32" s="9" t="s">
        <v>2350</v>
      </c>
      <c r="E32" s="9" t="s">
        <v>1136</v>
      </c>
      <c r="F32" s="9" t="s">
        <v>2312</v>
      </c>
      <c r="G32" s="11" t="n">
        <v>300</v>
      </c>
      <c r="H32" s="9" t="s">
        <v>73</v>
      </c>
      <c r="I32" s="9" t="s">
        <v>417</v>
      </c>
      <c r="J32" s="9" t="s">
        <v>1977</v>
      </c>
      <c r="K32" s="9"/>
      <c r="L32" s="13" t="n">
        <v>4</v>
      </c>
      <c r="M32" s="13" t="s">
        <v>2351</v>
      </c>
      <c r="N32" s="13" t="s">
        <v>2352</v>
      </c>
      <c r="O32" s="13" t="s">
        <v>2353</v>
      </c>
      <c r="P32" s="13" t="s">
        <v>2354</v>
      </c>
      <c r="Q32" s="13" t="s">
        <v>2355</v>
      </c>
      <c r="R32" s="13" t="s">
        <v>2356</v>
      </c>
      <c r="S32" s="13" t="s">
        <v>2357</v>
      </c>
      <c r="T32" s="13" t="s">
        <v>2358</v>
      </c>
      <c r="U32" s="13" t="s">
        <v>2359</v>
      </c>
      <c r="V32" s="13" t="s">
        <v>2360</v>
      </c>
      <c r="W32" s="13" t="s">
        <v>2335</v>
      </c>
      <c r="X32" s="13"/>
      <c r="Y32" s="13"/>
      <c r="Z32" s="14"/>
    </row>
    <row r="33" customFormat="false" ht="45.75" hidden="false" customHeight="true" outlineLevel="0" collapsed="false">
      <c r="A33" s="9" t="s">
        <v>2361</v>
      </c>
      <c r="B33" s="9" t="s">
        <v>87</v>
      </c>
      <c r="C33" s="9" t="s">
        <v>1600</v>
      </c>
      <c r="D33" s="9" t="s">
        <v>2362</v>
      </c>
      <c r="E33" s="9" t="s">
        <v>1136</v>
      </c>
      <c r="F33" s="9" t="s">
        <v>1976</v>
      </c>
      <c r="G33" s="11" t="n">
        <v>80</v>
      </c>
      <c r="H33" s="9" t="s">
        <v>73</v>
      </c>
      <c r="I33" s="9" t="s">
        <v>417</v>
      </c>
      <c r="J33" s="9" t="s">
        <v>1977</v>
      </c>
      <c r="K33" s="9"/>
      <c r="L33" s="13" t="n">
        <v>4</v>
      </c>
      <c r="M33" s="13" t="s">
        <v>2363</v>
      </c>
      <c r="N33" s="13" t="s">
        <v>2364</v>
      </c>
      <c r="O33" s="13" t="s">
        <v>2365</v>
      </c>
      <c r="P33" s="13" t="s">
        <v>2366</v>
      </c>
      <c r="Q33" s="13" t="s">
        <v>2367</v>
      </c>
      <c r="R33" s="13" t="s">
        <v>2368</v>
      </c>
      <c r="S33" s="13" t="s">
        <v>2369</v>
      </c>
      <c r="T33" s="13" t="s">
        <v>2370</v>
      </c>
      <c r="U33" s="13" t="s">
        <v>2371</v>
      </c>
      <c r="V33" s="13" t="s">
        <v>2372</v>
      </c>
      <c r="W33" s="13" t="s">
        <v>2373</v>
      </c>
      <c r="X33" s="13"/>
      <c r="Y33" s="13"/>
      <c r="Z33" s="14"/>
    </row>
    <row r="34" customFormat="false" ht="68.25" hidden="false" customHeight="true" outlineLevel="0" collapsed="false">
      <c r="A34" s="9" t="s">
        <v>2374</v>
      </c>
      <c r="B34" s="9" t="s">
        <v>104</v>
      </c>
      <c r="C34" s="9" t="s">
        <v>1636</v>
      </c>
      <c r="D34" s="9" t="s">
        <v>2375</v>
      </c>
      <c r="E34" s="9" t="s">
        <v>1135</v>
      </c>
      <c r="F34" s="9" t="s">
        <v>2002</v>
      </c>
      <c r="G34" s="15" t="n">
        <v>500</v>
      </c>
      <c r="H34" s="9" t="s">
        <v>110</v>
      </c>
      <c r="I34" s="9" t="s">
        <v>2026</v>
      </c>
      <c r="J34" s="9" t="s">
        <v>1977</v>
      </c>
      <c r="K34" s="9"/>
      <c r="L34" s="13" t="n">
        <v>1</v>
      </c>
      <c r="M34" s="13" t="s">
        <v>2376</v>
      </c>
      <c r="N34" s="13" t="s">
        <v>2377</v>
      </c>
      <c r="O34" s="13" t="s">
        <v>2378</v>
      </c>
      <c r="P34" s="13" t="s">
        <v>2379</v>
      </c>
      <c r="Q34" s="13" t="s">
        <v>2380</v>
      </c>
      <c r="R34" s="13" t="s">
        <v>2381</v>
      </c>
      <c r="S34" s="13" t="s">
        <v>2382</v>
      </c>
      <c r="T34" s="13" t="s">
        <v>2383</v>
      </c>
      <c r="U34" s="13" t="s">
        <v>2384</v>
      </c>
      <c r="V34" s="13" t="s">
        <v>2385</v>
      </c>
      <c r="W34" s="13" t="s">
        <v>2386</v>
      </c>
      <c r="X34" s="13" t="s">
        <v>2387</v>
      </c>
      <c r="Y34" s="13" t="s">
        <v>2388</v>
      </c>
      <c r="Z34" s="14"/>
    </row>
    <row r="35" customFormat="false" ht="57" hidden="false" customHeight="true" outlineLevel="0" collapsed="false">
      <c r="A35" s="9" t="s">
        <v>2389</v>
      </c>
      <c r="B35" s="9" t="s">
        <v>104</v>
      </c>
      <c r="C35" s="9" t="s">
        <v>1636</v>
      </c>
      <c r="D35" s="9" t="s">
        <v>2390</v>
      </c>
      <c r="E35" s="9" t="s">
        <v>1135</v>
      </c>
      <c r="F35" s="9" t="s">
        <v>2002</v>
      </c>
      <c r="G35" s="15" t="n">
        <v>600</v>
      </c>
      <c r="H35" s="9" t="s">
        <v>110</v>
      </c>
      <c r="I35" s="9" t="s">
        <v>2026</v>
      </c>
      <c r="J35" s="9" t="s">
        <v>1977</v>
      </c>
      <c r="K35" s="9"/>
      <c r="L35" s="13" t="n">
        <v>1</v>
      </c>
      <c r="M35" s="13" t="s">
        <v>2391</v>
      </c>
      <c r="N35" s="13" t="s">
        <v>2392</v>
      </c>
      <c r="O35" s="13" t="s">
        <v>2393</v>
      </c>
      <c r="P35" s="13" t="s">
        <v>2394</v>
      </c>
      <c r="Q35" s="13" t="s">
        <v>2395</v>
      </c>
      <c r="R35" s="13" t="s">
        <v>2396</v>
      </c>
      <c r="S35" s="13" t="s">
        <v>2397</v>
      </c>
      <c r="T35" s="13" t="s">
        <v>2398</v>
      </c>
      <c r="U35" s="13" t="s">
        <v>2399</v>
      </c>
      <c r="V35" s="13" t="s">
        <v>2400</v>
      </c>
      <c r="W35" s="13"/>
      <c r="X35" s="13"/>
      <c r="Y35" s="13"/>
      <c r="Z35" s="14"/>
    </row>
    <row r="36" customFormat="false" ht="45.75" hidden="false" customHeight="true" outlineLevel="0" collapsed="false">
      <c r="A36" s="9" t="s">
        <v>2401</v>
      </c>
      <c r="B36" s="9" t="s">
        <v>104</v>
      </c>
      <c r="C36" s="9" t="s">
        <v>1636</v>
      </c>
      <c r="D36" s="9" t="s">
        <v>2402</v>
      </c>
      <c r="E36" s="9" t="s">
        <v>1137</v>
      </c>
      <c r="F36" s="9" t="s">
        <v>2002</v>
      </c>
      <c r="G36" s="15" t="n">
        <v>500</v>
      </c>
      <c r="H36" s="9" t="s">
        <v>110</v>
      </c>
      <c r="I36" s="9" t="s">
        <v>2026</v>
      </c>
      <c r="J36" s="9" t="s">
        <v>1977</v>
      </c>
      <c r="K36" s="9"/>
      <c r="L36" s="13" t="n">
        <v>1</v>
      </c>
      <c r="M36" s="13" t="s">
        <v>2403</v>
      </c>
      <c r="N36" s="13" t="s">
        <v>2404</v>
      </c>
      <c r="O36" s="13" t="s">
        <v>2405</v>
      </c>
      <c r="P36" s="13" t="s">
        <v>2406</v>
      </c>
      <c r="Q36" s="13" t="s">
        <v>2407</v>
      </c>
      <c r="R36" s="13" t="s">
        <v>2408</v>
      </c>
      <c r="S36" s="13" t="s">
        <v>2409</v>
      </c>
      <c r="T36" s="13" t="s">
        <v>2410</v>
      </c>
      <c r="U36" s="13" t="s">
        <v>2411</v>
      </c>
      <c r="V36" s="13" t="s">
        <v>2412</v>
      </c>
      <c r="W36" s="13"/>
      <c r="X36" s="13"/>
      <c r="Y36" s="13"/>
      <c r="Z36" s="14"/>
    </row>
    <row r="37" customFormat="false" ht="45.75" hidden="false" customHeight="true" outlineLevel="0" collapsed="false">
      <c r="A37" s="9" t="s">
        <v>2413</v>
      </c>
      <c r="B37" s="9" t="s">
        <v>104</v>
      </c>
      <c r="C37" s="9" t="s">
        <v>1611</v>
      </c>
      <c r="D37" s="9" t="s">
        <v>2414</v>
      </c>
      <c r="E37" s="9" t="s">
        <v>1139</v>
      </c>
      <c r="F37" s="9" t="s">
        <v>2002</v>
      </c>
      <c r="G37" s="15" t="n">
        <v>0</v>
      </c>
      <c r="H37" s="9" t="s">
        <v>110</v>
      </c>
      <c r="I37" s="9" t="s">
        <v>2026</v>
      </c>
      <c r="J37" s="9" t="s">
        <v>1977</v>
      </c>
      <c r="K37" s="9"/>
      <c r="L37" s="13" t="n">
        <v>1</v>
      </c>
      <c r="M37" s="13" t="s">
        <v>2415</v>
      </c>
      <c r="N37" s="13" t="s">
        <v>2416</v>
      </c>
      <c r="O37" s="13" t="s">
        <v>2417</v>
      </c>
      <c r="P37" s="13" t="s">
        <v>2145</v>
      </c>
      <c r="Q37" s="13" t="s">
        <v>2418</v>
      </c>
      <c r="R37" s="13" t="s">
        <v>2419</v>
      </c>
      <c r="S37" s="13" t="s">
        <v>2420</v>
      </c>
      <c r="T37" s="13" t="s">
        <v>2421</v>
      </c>
      <c r="U37" s="13" t="s">
        <v>2422</v>
      </c>
      <c r="V37" s="13" t="s">
        <v>2128</v>
      </c>
      <c r="W37" s="13"/>
      <c r="X37" s="13"/>
      <c r="Y37" s="13"/>
      <c r="Z37" s="14"/>
    </row>
    <row r="38" customFormat="false" ht="45.75" hidden="false" customHeight="true" outlineLevel="0" collapsed="false">
      <c r="A38" s="9" t="s">
        <v>2423</v>
      </c>
      <c r="B38" s="9" t="s">
        <v>104</v>
      </c>
      <c r="C38" s="9" t="s">
        <v>1611</v>
      </c>
      <c r="D38" s="9" t="s">
        <v>2424</v>
      </c>
      <c r="E38" s="9" t="s">
        <v>1133</v>
      </c>
      <c r="F38" s="9" t="s">
        <v>1976</v>
      </c>
      <c r="G38" s="15" t="n">
        <v>1500</v>
      </c>
      <c r="H38" s="9" t="s">
        <v>110</v>
      </c>
      <c r="I38" s="9" t="s">
        <v>2026</v>
      </c>
      <c r="J38" s="9" t="s">
        <v>1977</v>
      </c>
      <c r="K38" s="9"/>
      <c r="L38" s="13" t="n">
        <v>1</v>
      </c>
      <c r="M38" s="13" t="s">
        <v>2425</v>
      </c>
      <c r="N38" s="13" t="s">
        <v>2426</v>
      </c>
      <c r="O38" s="13" t="s">
        <v>2427</v>
      </c>
      <c r="P38" s="13" t="s">
        <v>2428</v>
      </c>
      <c r="Q38" s="13" t="s">
        <v>2429</v>
      </c>
      <c r="R38" s="13" t="s">
        <v>2430</v>
      </c>
      <c r="S38" s="13" t="s">
        <v>2431</v>
      </c>
      <c r="T38" s="13" t="s">
        <v>2432</v>
      </c>
      <c r="U38" s="13" t="s">
        <v>2433</v>
      </c>
      <c r="V38" s="13" t="s">
        <v>2434</v>
      </c>
      <c r="W38" s="13" t="s">
        <v>2435</v>
      </c>
      <c r="X38" s="13" t="s">
        <v>2436</v>
      </c>
      <c r="Y38" s="13" t="s">
        <v>2437</v>
      </c>
      <c r="Z38" s="14"/>
    </row>
    <row r="39" customFormat="false" ht="79.5" hidden="false" customHeight="true" outlineLevel="0" collapsed="false">
      <c r="A39" s="9" t="s">
        <v>2438</v>
      </c>
      <c r="B39" s="9" t="s">
        <v>104</v>
      </c>
      <c r="C39" s="9" t="s">
        <v>1611</v>
      </c>
      <c r="D39" s="9" t="s">
        <v>2439</v>
      </c>
      <c r="E39" s="9" t="s">
        <v>1136</v>
      </c>
      <c r="F39" s="9" t="s">
        <v>2312</v>
      </c>
      <c r="G39" s="15" t="n">
        <v>8000</v>
      </c>
      <c r="H39" s="9" t="s">
        <v>110</v>
      </c>
      <c r="I39" s="9" t="s">
        <v>417</v>
      </c>
      <c r="J39" s="9" t="s">
        <v>1977</v>
      </c>
      <c r="K39" s="9"/>
      <c r="L39" s="13" t="n">
        <v>2</v>
      </c>
      <c r="M39" s="13" t="s">
        <v>2440</v>
      </c>
      <c r="N39" s="13" t="s">
        <v>2441</v>
      </c>
      <c r="O39" s="13" t="s">
        <v>2442</v>
      </c>
      <c r="P39" s="13" t="s">
        <v>2443</v>
      </c>
      <c r="Q39" s="13" t="s">
        <v>2444</v>
      </c>
      <c r="R39" s="13" t="s">
        <v>2445</v>
      </c>
      <c r="S39" s="13" t="s">
        <v>2446</v>
      </c>
      <c r="T39" s="13" t="s">
        <v>2447</v>
      </c>
      <c r="U39" s="13" t="s">
        <v>2448</v>
      </c>
      <c r="V39" s="13" t="s">
        <v>2449</v>
      </c>
      <c r="W39" s="13" t="s">
        <v>2450</v>
      </c>
      <c r="X39" s="13"/>
      <c r="Y39" s="13"/>
      <c r="Z39" s="14"/>
    </row>
    <row r="40" customFormat="false" ht="45.75" hidden="false" customHeight="true" outlineLevel="0" collapsed="false">
      <c r="A40" s="9" t="s">
        <v>2451</v>
      </c>
      <c r="B40" s="9" t="s">
        <v>104</v>
      </c>
      <c r="C40" s="9" t="s">
        <v>1623</v>
      </c>
      <c r="D40" s="9" t="s">
        <v>2452</v>
      </c>
      <c r="E40" s="9" t="s">
        <v>1134</v>
      </c>
      <c r="F40" s="9" t="s">
        <v>1976</v>
      </c>
      <c r="G40" s="15" t="n">
        <v>1500</v>
      </c>
      <c r="H40" s="9" t="s">
        <v>110</v>
      </c>
      <c r="I40" s="9" t="s">
        <v>2026</v>
      </c>
      <c r="J40" s="9" t="s">
        <v>1977</v>
      </c>
      <c r="K40" s="9"/>
      <c r="L40" s="13" t="n">
        <v>1</v>
      </c>
      <c r="M40" s="13" t="s">
        <v>2453</v>
      </c>
      <c r="N40" s="13" t="s">
        <v>2454</v>
      </c>
      <c r="O40" s="13" t="s">
        <v>2455</v>
      </c>
      <c r="P40" s="13" t="s">
        <v>2456</v>
      </c>
      <c r="Q40" s="13" t="s">
        <v>2457</v>
      </c>
      <c r="R40" s="13" t="s">
        <v>847</v>
      </c>
      <c r="S40" s="13" t="s">
        <v>2458</v>
      </c>
      <c r="T40" s="13" t="s">
        <v>2459</v>
      </c>
      <c r="U40" s="13" t="s">
        <v>2460</v>
      </c>
      <c r="V40" s="13" t="s">
        <v>2461</v>
      </c>
      <c r="W40" s="13" t="s">
        <v>2462</v>
      </c>
      <c r="X40" s="13" t="s">
        <v>2463</v>
      </c>
      <c r="Y40" s="13" t="s">
        <v>2464</v>
      </c>
      <c r="Z40" s="14"/>
    </row>
    <row r="41" customFormat="false" ht="45.75" hidden="false" customHeight="true" outlineLevel="0" collapsed="false">
      <c r="A41" s="9" t="s">
        <v>2465</v>
      </c>
      <c r="B41" s="9" t="s">
        <v>104</v>
      </c>
      <c r="C41" s="9" t="s">
        <v>1636</v>
      </c>
      <c r="D41" s="9" t="s">
        <v>2466</v>
      </c>
      <c r="E41" s="9" t="s">
        <v>1135</v>
      </c>
      <c r="F41" s="9" t="s">
        <v>2002</v>
      </c>
      <c r="G41" s="15" t="n">
        <v>400</v>
      </c>
      <c r="H41" s="9" t="s">
        <v>110</v>
      </c>
      <c r="I41" s="9" t="s">
        <v>379</v>
      </c>
      <c r="J41" s="9" t="s">
        <v>1977</v>
      </c>
      <c r="K41" s="9"/>
      <c r="L41" s="13" t="n">
        <v>1</v>
      </c>
      <c r="M41" s="13" t="s">
        <v>2467</v>
      </c>
      <c r="N41" s="13" t="s">
        <v>2468</v>
      </c>
      <c r="O41" s="13" t="s">
        <v>2469</v>
      </c>
      <c r="P41" s="13" t="s">
        <v>2470</v>
      </c>
      <c r="Q41" s="13" t="s">
        <v>2471</v>
      </c>
      <c r="R41" s="13" t="s">
        <v>2472</v>
      </c>
      <c r="S41" s="13" t="s">
        <v>2473</v>
      </c>
      <c r="T41" s="13" t="s">
        <v>2474</v>
      </c>
      <c r="U41" s="13" t="s">
        <v>2475</v>
      </c>
      <c r="V41" s="13" t="s">
        <v>2476</v>
      </c>
      <c r="W41" s="13"/>
      <c r="X41" s="13"/>
      <c r="Y41" s="13"/>
      <c r="Z41" s="14"/>
    </row>
    <row r="42" customFormat="false" ht="90.75" hidden="false" customHeight="true" outlineLevel="0" collapsed="false">
      <c r="A42" s="9" t="s">
        <v>2462</v>
      </c>
      <c r="B42" s="9" t="s">
        <v>104</v>
      </c>
      <c r="C42" s="9" t="s">
        <v>1611</v>
      </c>
      <c r="D42" s="9" t="s">
        <v>2477</v>
      </c>
      <c r="E42" s="9" t="s">
        <v>1136</v>
      </c>
      <c r="F42" s="9" t="s">
        <v>2312</v>
      </c>
      <c r="G42" s="15" t="n">
        <v>6000</v>
      </c>
      <c r="H42" s="9" t="s">
        <v>110</v>
      </c>
      <c r="I42" s="9" t="s">
        <v>2026</v>
      </c>
      <c r="J42" s="9" t="s">
        <v>1977</v>
      </c>
      <c r="K42" s="9"/>
      <c r="L42" s="13" t="n">
        <v>1</v>
      </c>
      <c r="M42" s="13" t="s">
        <v>2478</v>
      </c>
      <c r="N42" s="13" t="s">
        <v>2479</v>
      </c>
      <c r="O42" s="13" t="s">
        <v>2480</v>
      </c>
      <c r="P42" s="13" t="s">
        <v>2481</v>
      </c>
      <c r="Q42" s="13" t="s">
        <v>2482</v>
      </c>
      <c r="R42" s="13" t="s">
        <v>2483</v>
      </c>
      <c r="S42" s="13" t="s">
        <v>2484</v>
      </c>
      <c r="T42" s="13" t="s">
        <v>2485</v>
      </c>
      <c r="U42" s="13" t="s">
        <v>2486</v>
      </c>
      <c r="V42" s="13" t="s">
        <v>2487</v>
      </c>
      <c r="W42" s="13" t="s">
        <v>2465</v>
      </c>
      <c r="X42" s="13" t="s">
        <v>2488</v>
      </c>
      <c r="Y42" s="13" t="s">
        <v>2489</v>
      </c>
      <c r="Z42" s="14"/>
    </row>
    <row r="43" customFormat="false" ht="45.75" hidden="false" customHeight="true" outlineLevel="0" collapsed="false">
      <c r="A43" s="9" t="s">
        <v>2435</v>
      </c>
      <c r="B43" s="9" t="s">
        <v>104</v>
      </c>
      <c r="C43" s="9" t="s">
        <v>1636</v>
      </c>
      <c r="D43" s="9" t="s">
        <v>2490</v>
      </c>
      <c r="E43" s="9" t="s">
        <v>1136</v>
      </c>
      <c r="F43" s="9" t="s">
        <v>1976</v>
      </c>
      <c r="G43" s="15" t="n">
        <v>1800</v>
      </c>
      <c r="H43" s="9" t="s">
        <v>110</v>
      </c>
      <c r="I43" s="9" t="s">
        <v>2026</v>
      </c>
      <c r="J43" s="9" t="s">
        <v>1977</v>
      </c>
      <c r="K43" s="9"/>
      <c r="L43" s="13" t="n">
        <v>1</v>
      </c>
      <c r="M43" s="13" t="s">
        <v>2491</v>
      </c>
      <c r="N43" s="13" t="s">
        <v>2492</v>
      </c>
      <c r="O43" s="13" t="s">
        <v>2493</v>
      </c>
      <c r="P43" s="13" t="s">
        <v>2494</v>
      </c>
      <c r="Q43" s="13" t="s">
        <v>2495</v>
      </c>
      <c r="R43" s="13" t="s">
        <v>2496</v>
      </c>
      <c r="S43" s="13" t="s">
        <v>2497</v>
      </c>
      <c r="T43" s="13" t="s">
        <v>2498</v>
      </c>
      <c r="U43" s="13" t="s">
        <v>2499</v>
      </c>
      <c r="V43" s="13" t="s">
        <v>2500</v>
      </c>
      <c r="W43" s="13" t="s">
        <v>2389</v>
      </c>
      <c r="X43" s="13"/>
      <c r="Y43" s="13"/>
      <c r="Z43" s="14"/>
    </row>
    <row r="44" customFormat="false" ht="57" hidden="false" customHeight="true" outlineLevel="0" collapsed="false">
      <c r="A44" s="9" t="s">
        <v>2386</v>
      </c>
      <c r="B44" s="9" t="s">
        <v>104</v>
      </c>
      <c r="C44" s="9" t="s">
        <v>1636</v>
      </c>
      <c r="D44" s="9" t="s">
        <v>2501</v>
      </c>
      <c r="E44" s="9" t="s">
        <v>1137</v>
      </c>
      <c r="F44" s="9" t="s">
        <v>1976</v>
      </c>
      <c r="G44" s="15" t="n">
        <v>1200</v>
      </c>
      <c r="H44" s="9" t="s">
        <v>110</v>
      </c>
      <c r="I44" s="9" t="s">
        <v>379</v>
      </c>
      <c r="J44" s="9" t="s">
        <v>1977</v>
      </c>
      <c r="K44" s="9"/>
      <c r="L44" s="13" t="n">
        <v>1</v>
      </c>
      <c r="M44" s="13" t="s">
        <v>2502</v>
      </c>
      <c r="N44" s="13" t="s">
        <v>2503</v>
      </c>
      <c r="O44" s="13" t="s">
        <v>2504</v>
      </c>
      <c r="P44" s="13" t="s">
        <v>2505</v>
      </c>
      <c r="Q44" s="13" t="s">
        <v>2506</v>
      </c>
      <c r="R44" s="13" t="s">
        <v>2507</v>
      </c>
      <c r="S44" s="13" t="s">
        <v>2508</v>
      </c>
      <c r="T44" s="13" t="s">
        <v>2509</v>
      </c>
      <c r="U44" s="13" t="s">
        <v>2510</v>
      </c>
      <c r="V44" s="13" t="s">
        <v>2511</v>
      </c>
      <c r="W44" s="13"/>
      <c r="X44" s="13"/>
      <c r="Y44" s="13"/>
      <c r="Z44" s="14"/>
    </row>
    <row r="45" customFormat="false" ht="57" hidden="false" customHeight="true" outlineLevel="0" collapsed="false">
      <c r="A45" s="9" t="s">
        <v>2512</v>
      </c>
      <c r="B45" s="9" t="s">
        <v>104</v>
      </c>
      <c r="C45" s="9" t="s">
        <v>1636</v>
      </c>
      <c r="D45" s="9" t="s">
        <v>2513</v>
      </c>
      <c r="E45" s="9" t="s">
        <v>1140</v>
      </c>
      <c r="F45" s="9" t="s">
        <v>2002</v>
      </c>
      <c r="G45" s="15" t="n">
        <v>300</v>
      </c>
      <c r="H45" s="9" t="s">
        <v>110</v>
      </c>
      <c r="I45" s="9" t="s">
        <v>2026</v>
      </c>
      <c r="J45" s="9" t="s">
        <v>1977</v>
      </c>
      <c r="K45" s="9"/>
      <c r="L45" s="13" t="n">
        <v>1</v>
      </c>
      <c r="M45" s="13" t="s">
        <v>2514</v>
      </c>
      <c r="N45" s="13" t="s">
        <v>2515</v>
      </c>
      <c r="O45" s="13" t="s">
        <v>2516</v>
      </c>
      <c r="P45" s="13" t="s">
        <v>2517</v>
      </c>
      <c r="Q45" s="13" t="s">
        <v>2518</v>
      </c>
      <c r="R45" s="13" t="s">
        <v>2519</v>
      </c>
      <c r="S45" s="13" t="s">
        <v>2520</v>
      </c>
      <c r="T45" s="13" t="s">
        <v>2521</v>
      </c>
      <c r="U45" s="13" t="s">
        <v>2522</v>
      </c>
      <c r="V45" s="13" t="s">
        <v>2128</v>
      </c>
      <c r="W45" s="13"/>
      <c r="X45" s="13"/>
      <c r="Y45" s="13"/>
      <c r="Z45" s="14"/>
    </row>
    <row r="46" customFormat="false" ht="45.75" hidden="false" customHeight="true" outlineLevel="0" collapsed="false">
      <c r="A46" s="9" t="s">
        <v>2523</v>
      </c>
      <c r="B46" s="9" t="s">
        <v>104</v>
      </c>
      <c r="C46" s="9" t="s">
        <v>1611</v>
      </c>
      <c r="D46" s="9" t="s">
        <v>2524</v>
      </c>
      <c r="E46" s="9" t="s">
        <v>1133</v>
      </c>
      <c r="F46" s="9" t="s">
        <v>1976</v>
      </c>
      <c r="G46" s="15" t="n">
        <v>1500</v>
      </c>
      <c r="H46" s="9" t="s">
        <v>110</v>
      </c>
      <c r="I46" s="9" t="s">
        <v>417</v>
      </c>
      <c r="J46" s="9" t="s">
        <v>1977</v>
      </c>
      <c r="K46" s="9"/>
      <c r="L46" s="13" t="n">
        <v>2</v>
      </c>
      <c r="M46" s="13" t="s">
        <v>2525</v>
      </c>
      <c r="N46" s="13" t="s">
        <v>2526</v>
      </c>
      <c r="O46" s="13" t="s">
        <v>2527</v>
      </c>
      <c r="P46" s="13" t="s">
        <v>2528</v>
      </c>
      <c r="Q46" s="13" t="s">
        <v>2529</v>
      </c>
      <c r="R46" s="13" t="s">
        <v>2530</v>
      </c>
      <c r="S46" s="13" t="s">
        <v>2531</v>
      </c>
      <c r="T46" s="13" t="s">
        <v>2532</v>
      </c>
      <c r="U46" s="13" t="s">
        <v>2533</v>
      </c>
      <c r="V46" s="13" t="s">
        <v>2534</v>
      </c>
      <c r="W46" s="13" t="s">
        <v>2535</v>
      </c>
      <c r="X46" s="13" t="s">
        <v>2536</v>
      </c>
      <c r="Y46" s="13" t="s">
        <v>2537</v>
      </c>
      <c r="Z46" s="14"/>
    </row>
    <row r="47" customFormat="false" ht="68.25" hidden="false" customHeight="true" outlineLevel="0" collapsed="false">
      <c r="A47" s="9" t="s">
        <v>2538</v>
      </c>
      <c r="B47" s="9" t="s">
        <v>104</v>
      </c>
      <c r="C47" s="9" t="s">
        <v>1636</v>
      </c>
      <c r="D47" s="9" t="s">
        <v>2539</v>
      </c>
      <c r="E47" s="9" t="s">
        <v>1137</v>
      </c>
      <c r="F47" s="9" t="s">
        <v>2312</v>
      </c>
      <c r="G47" s="15" t="n">
        <v>5000</v>
      </c>
      <c r="H47" s="9" t="s">
        <v>110</v>
      </c>
      <c r="I47" s="9" t="s">
        <v>417</v>
      </c>
      <c r="J47" s="9" t="s">
        <v>1977</v>
      </c>
      <c r="K47" s="9"/>
      <c r="L47" s="13" t="n">
        <v>3</v>
      </c>
      <c r="M47" s="13" t="s">
        <v>2540</v>
      </c>
      <c r="N47" s="13" t="s">
        <v>2541</v>
      </c>
      <c r="O47" s="13" t="s">
        <v>2542</v>
      </c>
      <c r="P47" s="13" t="s">
        <v>2543</v>
      </c>
      <c r="Q47" s="13" t="s">
        <v>2544</v>
      </c>
      <c r="R47" s="13" t="s">
        <v>2545</v>
      </c>
      <c r="S47" s="13" t="s">
        <v>2546</v>
      </c>
      <c r="T47" s="13" t="s">
        <v>2547</v>
      </c>
      <c r="U47" s="13" t="s">
        <v>2548</v>
      </c>
      <c r="V47" s="13" t="s">
        <v>2549</v>
      </c>
      <c r="W47" s="13" t="s">
        <v>2550</v>
      </c>
      <c r="X47" s="13" t="s">
        <v>2551</v>
      </c>
      <c r="Y47" s="13" t="s">
        <v>2552</v>
      </c>
      <c r="Z47" s="14"/>
    </row>
    <row r="48" customFormat="false" ht="45.75" hidden="false" customHeight="true" outlineLevel="0" collapsed="false">
      <c r="A48" s="9" t="s">
        <v>2553</v>
      </c>
      <c r="B48" s="9" t="s">
        <v>104</v>
      </c>
      <c r="C48" s="9" t="s">
        <v>1623</v>
      </c>
      <c r="D48" s="9" t="s">
        <v>2554</v>
      </c>
      <c r="E48" s="9" t="s">
        <v>1136</v>
      </c>
      <c r="F48" s="9" t="s">
        <v>2312</v>
      </c>
      <c r="G48" s="15" t="n">
        <v>6000</v>
      </c>
      <c r="H48" s="9" t="s">
        <v>110</v>
      </c>
      <c r="I48" s="9" t="s">
        <v>417</v>
      </c>
      <c r="J48" s="9" t="s">
        <v>1977</v>
      </c>
      <c r="K48" s="9"/>
      <c r="L48" s="13" t="n">
        <v>4</v>
      </c>
      <c r="M48" s="13" t="s">
        <v>2555</v>
      </c>
      <c r="N48" s="13" t="s">
        <v>2556</v>
      </c>
      <c r="O48" s="13" t="s">
        <v>2557</v>
      </c>
      <c r="P48" s="13" t="s">
        <v>2558</v>
      </c>
      <c r="Q48" s="13" t="s">
        <v>2559</v>
      </c>
      <c r="R48" s="13" t="s">
        <v>2560</v>
      </c>
      <c r="S48" s="13" t="s">
        <v>2561</v>
      </c>
      <c r="T48" s="13" t="s">
        <v>2562</v>
      </c>
      <c r="U48" s="13" t="s">
        <v>2563</v>
      </c>
      <c r="V48" s="13" t="s">
        <v>2564</v>
      </c>
      <c r="W48" s="13" t="s">
        <v>2538</v>
      </c>
      <c r="X48" s="13"/>
      <c r="Y48" s="13"/>
      <c r="Z48" s="14"/>
    </row>
    <row r="49" customFormat="false" ht="57" hidden="false" customHeight="true" outlineLevel="0" collapsed="false">
      <c r="A49" s="9" t="s">
        <v>2565</v>
      </c>
      <c r="B49" s="9" t="s">
        <v>104</v>
      </c>
      <c r="C49" s="9" t="s">
        <v>1636</v>
      </c>
      <c r="D49" s="9" t="s">
        <v>2566</v>
      </c>
      <c r="E49" s="9" t="s">
        <v>1138</v>
      </c>
      <c r="F49" s="9" t="s">
        <v>2002</v>
      </c>
      <c r="G49" s="15" t="n">
        <v>500</v>
      </c>
      <c r="H49" s="9" t="s">
        <v>110</v>
      </c>
      <c r="I49" s="9" t="s">
        <v>2026</v>
      </c>
      <c r="J49" s="9" t="s">
        <v>1977</v>
      </c>
      <c r="K49" s="9"/>
      <c r="L49" s="13" t="n">
        <v>1</v>
      </c>
      <c r="M49" s="13" t="s">
        <v>2567</v>
      </c>
      <c r="N49" s="13" t="s">
        <v>2568</v>
      </c>
      <c r="O49" s="13" t="s">
        <v>2569</v>
      </c>
      <c r="P49" s="13" t="s">
        <v>2570</v>
      </c>
      <c r="Q49" s="13" t="s">
        <v>2571</v>
      </c>
      <c r="R49" s="13" t="s">
        <v>2572</v>
      </c>
      <c r="S49" s="13" t="s">
        <v>2573</v>
      </c>
      <c r="T49" s="13" t="s">
        <v>2574</v>
      </c>
      <c r="U49" s="13" t="s">
        <v>2575</v>
      </c>
      <c r="V49" s="13" t="s">
        <v>2576</v>
      </c>
      <c r="W49" s="13" t="s">
        <v>2512</v>
      </c>
      <c r="X49" s="13"/>
      <c r="Y49" s="13"/>
      <c r="Z49" s="14"/>
    </row>
    <row r="50" customFormat="false" ht="45.75" hidden="false" customHeight="true" outlineLevel="0" collapsed="false">
      <c r="A50" s="9" t="s">
        <v>2577</v>
      </c>
      <c r="B50" s="9" t="s">
        <v>124</v>
      </c>
      <c r="C50" s="9" t="s">
        <v>1648</v>
      </c>
      <c r="D50" s="9" t="s">
        <v>2578</v>
      </c>
      <c r="E50" s="9" t="s">
        <v>1136</v>
      </c>
      <c r="F50" s="9" t="s">
        <v>2312</v>
      </c>
      <c r="G50" s="11" t="n">
        <v>400</v>
      </c>
      <c r="H50" s="9" t="s">
        <v>73</v>
      </c>
      <c r="I50" s="9" t="s">
        <v>379</v>
      </c>
      <c r="J50" s="9" t="s">
        <v>1977</v>
      </c>
      <c r="K50" s="9"/>
      <c r="L50" s="13" t="n">
        <v>1</v>
      </c>
      <c r="M50" s="13" t="s">
        <v>2579</v>
      </c>
      <c r="N50" s="13" t="s">
        <v>2580</v>
      </c>
      <c r="O50" s="13" t="s">
        <v>2581</v>
      </c>
      <c r="P50" s="13" t="s">
        <v>2582</v>
      </c>
      <c r="Q50" s="13" t="s">
        <v>2583</v>
      </c>
      <c r="R50" s="13" t="s">
        <v>2584</v>
      </c>
      <c r="S50" s="13" t="s">
        <v>2585</v>
      </c>
      <c r="T50" s="13" t="s">
        <v>2586</v>
      </c>
      <c r="U50" s="13" t="s">
        <v>2587</v>
      </c>
      <c r="V50" s="13" t="s">
        <v>2588</v>
      </c>
      <c r="W50" s="13" t="s">
        <v>2589</v>
      </c>
      <c r="X50" s="13"/>
      <c r="Y50" s="13"/>
      <c r="Z50" s="14"/>
    </row>
    <row r="51" customFormat="false" ht="45.75" hidden="false" customHeight="true" outlineLevel="0" collapsed="false">
      <c r="A51" s="9" t="s">
        <v>2589</v>
      </c>
      <c r="B51" s="9" t="s">
        <v>124</v>
      </c>
      <c r="C51" s="9" t="s">
        <v>1660</v>
      </c>
      <c r="D51" s="9" t="s">
        <v>2590</v>
      </c>
      <c r="E51" s="9" t="s">
        <v>1134</v>
      </c>
      <c r="F51" s="9" t="s">
        <v>1976</v>
      </c>
      <c r="G51" s="11" t="n">
        <v>80</v>
      </c>
      <c r="H51" s="9" t="s">
        <v>73</v>
      </c>
      <c r="I51" s="9" t="s">
        <v>379</v>
      </c>
      <c r="J51" s="9" t="s">
        <v>1977</v>
      </c>
      <c r="K51" s="9"/>
      <c r="L51" s="13" t="n">
        <v>1</v>
      </c>
      <c r="M51" s="13" t="s">
        <v>2591</v>
      </c>
      <c r="N51" s="13" t="s">
        <v>2592</v>
      </c>
      <c r="O51" s="13" t="s">
        <v>2593</v>
      </c>
      <c r="P51" s="13" t="s">
        <v>2594</v>
      </c>
      <c r="Q51" s="13" t="s">
        <v>2595</v>
      </c>
      <c r="R51" s="13" t="s">
        <v>2596</v>
      </c>
      <c r="S51" s="13" t="s">
        <v>2597</v>
      </c>
      <c r="T51" s="13" t="s">
        <v>2598</v>
      </c>
      <c r="U51" s="13" t="s">
        <v>2599</v>
      </c>
      <c r="V51" s="13" t="s">
        <v>2600</v>
      </c>
      <c r="W51" s="13"/>
      <c r="X51" s="13"/>
      <c r="Y51" s="13"/>
      <c r="Z51" s="14"/>
    </row>
    <row r="52" customFormat="false" ht="45.75" hidden="false" customHeight="true" outlineLevel="0" collapsed="false">
      <c r="A52" s="9" t="s">
        <v>2601</v>
      </c>
      <c r="B52" s="9" t="s">
        <v>124</v>
      </c>
      <c r="C52" s="9" t="s">
        <v>1660</v>
      </c>
      <c r="D52" s="9" t="s">
        <v>2602</v>
      </c>
      <c r="E52" s="9" t="s">
        <v>1134</v>
      </c>
      <c r="F52" s="9" t="s">
        <v>2002</v>
      </c>
      <c r="G52" s="11" t="n">
        <v>30</v>
      </c>
      <c r="H52" s="9" t="s">
        <v>73</v>
      </c>
      <c r="I52" s="9" t="s">
        <v>2026</v>
      </c>
      <c r="J52" s="9" t="s">
        <v>1977</v>
      </c>
      <c r="K52" s="9"/>
      <c r="L52" s="13" t="n">
        <v>2</v>
      </c>
      <c r="M52" s="13" t="s">
        <v>2603</v>
      </c>
      <c r="N52" s="13" t="s">
        <v>2604</v>
      </c>
      <c r="O52" s="13" t="s">
        <v>2605</v>
      </c>
      <c r="P52" s="13" t="s">
        <v>2606</v>
      </c>
      <c r="Q52" s="13" t="s">
        <v>2607</v>
      </c>
      <c r="R52" s="13" t="s">
        <v>2608</v>
      </c>
      <c r="S52" s="13" t="s">
        <v>2609</v>
      </c>
      <c r="T52" s="13" t="s">
        <v>2610</v>
      </c>
      <c r="U52" s="13" t="s">
        <v>2611</v>
      </c>
      <c r="V52" s="13" t="s">
        <v>2612</v>
      </c>
      <c r="W52" s="13" t="s">
        <v>2577</v>
      </c>
      <c r="X52" s="13" t="s">
        <v>2613</v>
      </c>
      <c r="Y52" s="13" t="s">
        <v>2614</v>
      </c>
      <c r="Z52" s="14"/>
    </row>
    <row r="53" customFormat="false" ht="57" hidden="false" customHeight="true" outlineLevel="0" collapsed="false">
      <c r="A53" s="9" t="s">
        <v>2615</v>
      </c>
      <c r="B53" s="9" t="s">
        <v>124</v>
      </c>
      <c r="C53" s="9" t="s">
        <v>1648</v>
      </c>
      <c r="D53" s="9" t="s">
        <v>2616</v>
      </c>
      <c r="E53" s="9" t="s">
        <v>1133</v>
      </c>
      <c r="F53" s="9" t="s">
        <v>1976</v>
      </c>
      <c r="G53" s="11" t="n">
        <v>80</v>
      </c>
      <c r="H53" s="9" t="s">
        <v>73</v>
      </c>
      <c r="I53" s="9" t="s">
        <v>2026</v>
      </c>
      <c r="J53" s="9" t="s">
        <v>1977</v>
      </c>
      <c r="K53" s="9"/>
      <c r="L53" s="13" t="n">
        <v>2</v>
      </c>
      <c r="M53" s="13" t="s">
        <v>2617</v>
      </c>
      <c r="N53" s="13" t="s">
        <v>2618</v>
      </c>
      <c r="O53" s="13" t="s">
        <v>2619</v>
      </c>
      <c r="P53" s="13" t="s">
        <v>2620</v>
      </c>
      <c r="Q53" s="13" t="s">
        <v>2621</v>
      </c>
      <c r="R53" s="13" t="s">
        <v>2622</v>
      </c>
      <c r="S53" s="13" t="s">
        <v>2623</v>
      </c>
      <c r="T53" s="13" t="s">
        <v>2624</v>
      </c>
      <c r="U53" s="13" t="s">
        <v>2625</v>
      </c>
      <c r="V53" s="13" t="s">
        <v>2626</v>
      </c>
      <c r="W53" s="13" t="s">
        <v>2601</v>
      </c>
      <c r="X53" s="13" t="s">
        <v>2627</v>
      </c>
      <c r="Y53" s="13" t="s">
        <v>2628</v>
      </c>
      <c r="Z53" s="14"/>
    </row>
    <row r="54" customFormat="false" ht="57" hidden="false" customHeight="true" outlineLevel="0" collapsed="false">
      <c r="A54" s="9" t="s">
        <v>2629</v>
      </c>
      <c r="B54" s="9" t="s">
        <v>124</v>
      </c>
      <c r="C54" s="9" t="s">
        <v>1648</v>
      </c>
      <c r="D54" s="9" t="s">
        <v>2630</v>
      </c>
      <c r="E54" s="9" t="s">
        <v>1136</v>
      </c>
      <c r="F54" s="9" t="s">
        <v>1976</v>
      </c>
      <c r="G54" s="11" t="n">
        <v>100</v>
      </c>
      <c r="H54" s="9" t="s">
        <v>73</v>
      </c>
      <c r="I54" s="9" t="s">
        <v>2026</v>
      </c>
      <c r="J54" s="9" t="s">
        <v>1977</v>
      </c>
      <c r="K54" s="9"/>
      <c r="L54" s="13" t="n">
        <v>2</v>
      </c>
      <c r="M54" s="13" t="s">
        <v>2631</v>
      </c>
      <c r="N54" s="13" t="s">
        <v>2632</v>
      </c>
      <c r="O54" s="13" t="s">
        <v>2633</v>
      </c>
      <c r="P54" s="13" t="s">
        <v>2634</v>
      </c>
      <c r="Q54" s="13" t="s">
        <v>2635</v>
      </c>
      <c r="R54" s="13" t="s">
        <v>2636</v>
      </c>
      <c r="S54" s="13" t="s">
        <v>2637</v>
      </c>
      <c r="T54" s="13" t="s">
        <v>2638</v>
      </c>
      <c r="U54" s="13" t="s">
        <v>2639</v>
      </c>
      <c r="V54" s="13" t="s">
        <v>2640</v>
      </c>
      <c r="W54" s="13" t="s">
        <v>2615</v>
      </c>
      <c r="X54" s="13"/>
      <c r="Y54" s="13"/>
      <c r="Z54" s="14"/>
    </row>
    <row r="55" customFormat="false" ht="57" hidden="false" customHeight="true" outlineLevel="0" collapsed="false">
      <c r="A55" s="9" t="s">
        <v>2641</v>
      </c>
      <c r="B55" s="9" t="s">
        <v>124</v>
      </c>
      <c r="C55" s="9" t="s">
        <v>1648</v>
      </c>
      <c r="D55" s="9" t="s">
        <v>2642</v>
      </c>
      <c r="E55" s="9" t="s">
        <v>1136</v>
      </c>
      <c r="F55" s="9" t="s">
        <v>1976</v>
      </c>
      <c r="G55" s="11" t="n">
        <v>90</v>
      </c>
      <c r="H55" s="9" t="s">
        <v>73</v>
      </c>
      <c r="I55" s="9" t="s">
        <v>2026</v>
      </c>
      <c r="J55" s="9" t="s">
        <v>1977</v>
      </c>
      <c r="K55" s="9"/>
      <c r="L55" s="13" t="n">
        <v>2</v>
      </c>
      <c r="M55" s="13" t="s">
        <v>2643</v>
      </c>
      <c r="N55" s="13" t="s">
        <v>2644</v>
      </c>
      <c r="O55" s="13" t="s">
        <v>2645</v>
      </c>
      <c r="P55" s="13" t="s">
        <v>2646</v>
      </c>
      <c r="Q55" s="13" t="s">
        <v>2647</v>
      </c>
      <c r="R55" s="13" t="s">
        <v>2648</v>
      </c>
      <c r="S55" s="13" t="s">
        <v>2649</v>
      </c>
      <c r="T55" s="13" t="s">
        <v>2650</v>
      </c>
      <c r="U55" s="13" t="s">
        <v>2651</v>
      </c>
      <c r="V55" s="13" t="s">
        <v>2652</v>
      </c>
      <c r="W55" s="13" t="s">
        <v>2615</v>
      </c>
      <c r="X55" s="13"/>
      <c r="Y55" s="13"/>
      <c r="Z55" s="14"/>
    </row>
    <row r="56" customFormat="false" ht="57" hidden="false" customHeight="true" outlineLevel="0" collapsed="false">
      <c r="A56" s="9" t="s">
        <v>2653</v>
      </c>
      <c r="B56" s="9" t="s">
        <v>124</v>
      </c>
      <c r="C56" s="9" t="s">
        <v>1648</v>
      </c>
      <c r="D56" s="9" t="s">
        <v>2654</v>
      </c>
      <c r="E56" s="9" t="s">
        <v>1136</v>
      </c>
      <c r="F56" s="9" t="s">
        <v>1976</v>
      </c>
      <c r="G56" s="11" t="n">
        <v>120</v>
      </c>
      <c r="H56" s="9" t="s">
        <v>73</v>
      </c>
      <c r="I56" s="9" t="s">
        <v>2026</v>
      </c>
      <c r="J56" s="9" t="s">
        <v>1977</v>
      </c>
      <c r="K56" s="9" t="s">
        <v>2655</v>
      </c>
      <c r="L56" s="13" t="n">
        <v>2</v>
      </c>
      <c r="M56" s="13" t="s">
        <v>2656</v>
      </c>
      <c r="N56" s="13" t="s">
        <v>2657</v>
      </c>
      <c r="O56" s="13" t="s">
        <v>2658</v>
      </c>
      <c r="P56" s="13" t="s">
        <v>2659</v>
      </c>
      <c r="Q56" s="13" t="s">
        <v>2660</v>
      </c>
      <c r="R56" s="13" t="s">
        <v>2661</v>
      </c>
      <c r="S56" s="13" t="s">
        <v>2662</v>
      </c>
      <c r="T56" s="13" t="s">
        <v>2663</v>
      </c>
      <c r="U56" s="13" t="s">
        <v>2664</v>
      </c>
      <c r="V56" s="13" t="s">
        <v>2665</v>
      </c>
      <c r="W56" s="13" t="s">
        <v>2615</v>
      </c>
      <c r="X56" s="13" t="s">
        <v>2666</v>
      </c>
      <c r="Y56" s="13" t="s">
        <v>2667</v>
      </c>
      <c r="Z56" s="14"/>
    </row>
    <row r="57" customFormat="false" ht="68.25" hidden="false" customHeight="true" outlineLevel="0" collapsed="false">
      <c r="A57" s="9" t="s">
        <v>2668</v>
      </c>
      <c r="B57" s="9" t="s">
        <v>124</v>
      </c>
      <c r="C57" s="9" t="s">
        <v>1660</v>
      </c>
      <c r="D57" s="9" t="s">
        <v>2669</v>
      </c>
      <c r="E57" s="9" t="s">
        <v>1136</v>
      </c>
      <c r="F57" s="9" t="s">
        <v>2312</v>
      </c>
      <c r="G57" s="11" t="n">
        <v>300</v>
      </c>
      <c r="H57" s="9" t="s">
        <v>73</v>
      </c>
      <c r="I57" s="9" t="s">
        <v>2026</v>
      </c>
      <c r="J57" s="9" t="s">
        <v>1977</v>
      </c>
      <c r="K57" s="9"/>
      <c r="L57" s="13" t="n">
        <v>2</v>
      </c>
      <c r="M57" s="13" t="s">
        <v>2670</v>
      </c>
      <c r="N57" s="13" t="s">
        <v>2671</v>
      </c>
      <c r="O57" s="13" t="s">
        <v>2672</v>
      </c>
      <c r="P57" s="13" t="s">
        <v>2673</v>
      </c>
      <c r="Q57" s="13" t="s">
        <v>2674</v>
      </c>
      <c r="R57" s="13" t="s">
        <v>2675</v>
      </c>
      <c r="S57" s="13" t="s">
        <v>2676</v>
      </c>
      <c r="T57" s="13" t="s">
        <v>2677</v>
      </c>
      <c r="U57" s="13" t="s">
        <v>2678</v>
      </c>
      <c r="V57" s="13" t="s">
        <v>2679</v>
      </c>
      <c r="W57" s="13" t="s">
        <v>2615</v>
      </c>
      <c r="X57" s="13"/>
      <c r="Y57" s="13"/>
      <c r="Z57" s="14"/>
    </row>
    <row r="58" customFormat="false" ht="79.5" hidden="false" customHeight="true" outlineLevel="0" collapsed="false">
      <c r="A58" s="9" t="s">
        <v>2680</v>
      </c>
      <c r="B58" s="9" t="s">
        <v>124</v>
      </c>
      <c r="C58" s="9" t="s">
        <v>1660</v>
      </c>
      <c r="D58" s="9" t="s">
        <v>2681</v>
      </c>
      <c r="E58" s="9" t="s">
        <v>1135</v>
      </c>
      <c r="F58" s="9" t="s">
        <v>1976</v>
      </c>
      <c r="G58" s="11" t="n">
        <v>100</v>
      </c>
      <c r="H58" s="9" t="s">
        <v>73</v>
      </c>
      <c r="I58" s="9" t="s">
        <v>2026</v>
      </c>
      <c r="J58" s="9" t="s">
        <v>1977</v>
      </c>
      <c r="K58" s="9" t="s">
        <v>2682</v>
      </c>
      <c r="L58" s="13" t="n">
        <v>2</v>
      </c>
      <c r="M58" s="13" t="s">
        <v>2683</v>
      </c>
      <c r="N58" s="13" t="s">
        <v>2684</v>
      </c>
      <c r="O58" s="13" t="s">
        <v>2685</v>
      </c>
      <c r="P58" s="13" t="s">
        <v>2686</v>
      </c>
      <c r="Q58" s="13" t="s">
        <v>2687</v>
      </c>
      <c r="R58" s="13" t="s">
        <v>2688</v>
      </c>
      <c r="S58" s="13" t="s">
        <v>2689</v>
      </c>
      <c r="T58" s="13" t="s">
        <v>2690</v>
      </c>
      <c r="U58" s="13" t="s">
        <v>2691</v>
      </c>
      <c r="V58" s="13" t="s">
        <v>2692</v>
      </c>
      <c r="W58" s="13" t="s">
        <v>2668</v>
      </c>
      <c r="X58" s="13" t="s">
        <v>2693</v>
      </c>
      <c r="Y58" s="13" t="s">
        <v>2694</v>
      </c>
      <c r="Z58" s="14"/>
    </row>
    <row r="59" customFormat="false" ht="57" hidden="false" customHeight="true" outlineLevel="0" collapsed="false">
      <c r="A59" s="9" t="s">
        <v>2695</v>
      </c>
      <c r="B59" s="9" t="s">
        <v>124</v>
      </c>
      <c r="C59" s="9" t="s">
        <v>1648</v>
      </c>
      <c r="D59" s="9" t="s">
        <v>2696</v>
      </c>
      <c r="E59" s="9" t="s">
        <v>1137</v>
      </c>
      <c r="F59" s="9" t="s">
        <v>2002</v>
      </c>
      <c r="G59" s="11" t="n">
        <v>40</v>
      </c>
      <c r="H59" s="9" t="s">
        <v>73</v>
      </c>
      <c r="I59" s="9" t="s">
        <v>2026</v>
      </c>
      <c r="J59" s="9" t="s">
        <v>1977</v>
      </c>
      <c r="K59" s="9" t="s">
        <v>2697</v>
      </c>
      <c r="L59" s="13" t="n">
        <v>2</v>
      </c>
      <c r="M59" s="13" t="s">
        <v>2698</v>
      </c>
      <c r="N59" s="13" t="s">
        <v>2699</v>
      </c>
      <c r="O59" s="13" t="s">
        <v>2700</v>
      </c>
      <c r="P59" s="13" t="s">
        <v>2701</v>
      </c>
      <c r="Q59" s="13" t="s">
        <v>2702</v>
      </c>
      <c r="R59" s="13" t="s">
        <v>2703</v>
      </c>
      <c r="S59" s="13" t="s">
        <v>2704</v>
      </c>
      <c r="T59" s="13" t="s">
        <v>2705</v>
      </c>
      <c r="U59" s="13" t="s">
        <v>2706</v>
      </c>
      <c r="V59" s="13" t="s">
        <v>2707</v>
      </c>
      <c r="W59" s="13" t="s">
        <v>2653</v>
      </c>
      <c r="X59" s="13"/>
      <c r="Y59" s="13"/>
      <c r="Z59" s="14"/>
    </row>
    <row r="60" customFormat="false" ht="45.75" hidden="false" customHeight="true" outlineLevel="0" collapsed="false">
      <c r="A60" s="9" t="s">
        <v>2708</v>
      </c>
      <c r="B60" s="9" t="s">
        <v>124</v>
      </c>
      <c r="C60" s="9" t="s">
        <v>1648</v>
      </c>
      <c r="D60" s="9" t="s">
        <v>2709</v>
      </c>
      <c r="E60" s="9" t="s">
        <v>1140</v>
      </c>
      <c r="F60" s="9" t="s">
        <v>2002</v>
      </c>
      <c r="G60" s="11" t="n">
        <v>20</v>
      </c>
      <c r="H60" s="9" t="s">
        <v>73</v>
      </c>
      <c r="I60" s="9" t="s">
        <v>2026</v>
      </c>
      <c r="J60" s="9" t="s">
        <v>1977</v>
      </c>
      <c r="K60" s="9"/>
      <c r="L60" s="13" t="n">
        <v>2</v>
      </c>
      <c r="M60" s="13" t="s">
        <v>2710</v>
      </c>
      <c r="N60" s="13" t="s">
        <v>2711</v>
      </c>
      <c r="O60" s="13" t="s">
        <v>2712</v>
      </c>
      <c r="P60" s="13" t="s">
        <v>2713</v>
      </c>
      <c r="Q60" s="13" t="s">
        <v>2714</v>
      </c>
      <c r="R60" s="13" t="s">
        <v>2715</v>
      </c>
      <c r="S60" s="13" t="s">
        <v>2716</v>
      </c>
      <c r="T60" s="13" t="s">
        <v>2717</v>
      </c>
      <c r="U60" s="13" t="s">
        <v>2718</v>
      </c>
      <c r="V60" s="13" t="s">
        <v>2128</v>
      </c>
      <c r="W60" s="13" t="s">
        <v>2629</v>
      </c>
      <c r="X60" s="13"/>
      <c r="Y60" s="13"/>
      <c r="Z60" s="14"/>
    </row>
    <row r="61" customFormat="false" ht="45.75" hidden="false" customHeight="true" outlineLevel="0" collapsed="false">
      <c r="A61" s="9" t="s">
        <v>2719</v>
      </c>
      <c r="B61" s="9" t="s">
        <v>124</v>
      </c>
      <c r="C61" s="9" t="s">
        <v>1660</v>
      </c>
      <c r="D61" s="9" t="s">
        <v>2720</v>
      </c>
      <c r="E61" s="9" t="s">
        <v>1138</v>
      </c>
      <c r="F61" s="9" t="s">
        <v>2002</v>
      </c>
      <c r="G61" s="11" t="n">
        <v>25</v>
      </c>
      <c r="H61" s="9" t="s">
        <v>73</v>
      </c>
      <c r="I61" s="9" t="s">
        <v>2026</v>
      </c>
      <c r="J61" s="9" t="s">
        <v>1977</v>
      </c>
      <c r="K61" s="9"/>
      <c r="L61" s="13" t="n">
        <v>2</v>
      </c>
      <c r="M61" s="13" t="s">
        <v>2721</v>
      </c>
      <c r="N61" s="13" t="s">
        <v>2722</v>
      </c>
      <c r="O61" s="13" t="s">
        <v>2723</v>
      </c>
      <c r="P61" s="13" t="s">
        <v>2724</v>
      </c>
      <c r="Q61" s="13" t="s">
        <v>2725</v>
      </c>
      <c r="R61" s="13" t="s">
        <v>2726</v>
      </c>
      <c r="S61" s="13" t="s">
        <v>2727</v>
      </c>
      <c r="T61" s="13" t="s">
        <v>2728</v>
      </c>
      <c r="U61" s="13" t="s">
        <v>2729</v>
      </c>
      <c r="V61" s="13" t="s">
        <v>2730</v>
      </c>
      <c r="W61" s="13" t="s">
        <v>2615</v>
      </c>
      <c r="X61" s="13"/>
      <c r="Y61" s="13"/>
      <c r="Z61" s="14"/>
    </row>
    <row r="62" customFormat="false" ht="34.5" hidden="false" customHeight="true" outlineLevel="0" collapsed="false">
      <c r="A62" s="9" t="s">
        <v>2731</v>
      </c>
      <c r="B62" s="9" t="s">
        <v>124</v>
      </c>
      <c r="C62" s="9" t="s">
        <v>1660</v>
      </c>
      <c r="D62" s="9" t="s">
        <v>2732</v>
      </c>
      <c r="E62" s="9" t="s">
        <v>1139</v>
      </c>
      <c r="F62" s="9" t="s">
        <v>2002</v>
      </c>
      <c r="G62" s="11" t="n">
        <v>0</v>
      </c>
      <c r="H62" s="9" t="s">
        <v>73</v>
      </c>
      <c r="I62" s="9" t="s">
        <v>2026</v>
      </c>
      <c r="J62" s="9" t="s">
        <v>1977</v>
      </c>
      <c r="K62" s="9"/>
      <c r="L62" s="13" t="n">
        <v>2</v>
      </c>
      <c r="M62" s="13" t="s">
        <v>2733</v>
      </c>
      <c r="N62" s="13" t="s">
        <v>2734</v>
      </c>
      <c r="O62" s="13" t="s">
        <v>2735</v>
      </c>
      <c r="P62" s="13" t="s">
        <v>2145</v>
      </c>
      <c r="Q62" s="13" t="s">
        <v>2418</v>
      </c>
      <c r="R62" s="13" t="s">
        <v>2419</v>
      </c>
      <c r="S62" s="13" t="s">
        <v>2736</v>
      </c>
      <c r="T62" s="13" t="s">
        <v>2737</v>
      </c>
      <c r="U62" s="13" t="s">
        <v>2422</v>
      </c>
      <c r="V62" s="13" t="s">
        <v>2128</v>
      </c>
      <c r="W62" s="13"/>
      <c r="X62" s="13"/>
      <c r="Y62" s="13"/>
      <c r="Z62" s="14"/>
    </row>
    <row r="63" customFormat="false" ht="57" hidden="false" customHeight="true" outlineLevel="0" collapsed="false">
      <c r="A63" s="9" t="s">
        <v>2738</v>
      </c>
      <c r="B63" s="9" t="s">
        <v>124</v>
      </c>
      <c r="C63" s="9" t="s">
        <v>1660</v>
      </c>
      <c r="D63" s="9" t="s">
        <v>2739</v>
      </c>
      <c r="E63" s="9" t="s">
        <v>1136</v>
      </c>
      <c r="F63" s="9" t="s">
        <v>2312</v>
      </c>
      <c r="G63" s="11" t="n">
        <v>350</v>
      </c>
      <c r="H63" s="9" t="s">
        <v>73</v>
      </c>
      <c r="I63" s="9" t="s">
        <v>417</v>
      </c>
      <c r="J63" s="9" t="s">
        <v>1977</v>
      </c>
      <c r="K63" s="9"/>
      <c r="L63" s="13" t="n">
        <v>3</v>
      </c>
      <c r="M63" s="13" t="s">
        <v>2740</v>
      </c>
      <c r="N63" s="13" t="s">
        <v>2741</v>
      </c>
      <c r="O63" s="13" t="s">
        <v>2742</v>
      </c>
      <c r="P63" s="13" t="s">
        <v>2743</v>
      </c>
      <c r="Q63" s="13" t="s">
        <v>2744</v>
      </c>
      <c r="R63" s="13" t="s">
        <v>2745</v>
      </c>
      <c r="S63" s="13" t="s">
        <v>2746</v>
      </c>
      <c r="T63" s="13" t="s">
        <v>2747</v>
      </c>
      <c r="U63" s="13" t="s">
        <v>2748</v>
      </c>
      <c r="V63" s="13" t="s">
        <v>2749</v>
      </c>
      <c r="W63" s="13" t="s">
        <v>2750</v>
      </c>
      <c r="X63" s="13" t="s">
        <v>2751</v>
      </c>
      <c r="Y63" s="13" t="s">
        <v>2752</v>
      </c>
      <c r="Z63" s="14"/>
    </row>
    <row r="64" customFormat="false" ht="45.75" hidden="false" customHeight="true" outlineLevel="0" collapsed="false">
      <c r="A64" s="9" t="s">
        <v>2753</v>
      </c>
      <c r="B64" s="9" t="s">
        <v>124</v>
      </c>
      <c r="C64" s="9" t="s">
        <v>1648</v>
      </c>
      <c r="D64" s="9" t="s">
        <v>2754</v>
      </c>
      <c r="E64" s="9" t="s">
        <v>1135</v>
      </c>
      <c r="F64" s="9" t="s">
        <v>1976</v>
      </c>
      <c r="G64" s="11" t="n">
        <v>100</v>
      </c>
      <c r="H64" s="9" t="s">
        <v>73</v>
      </c>
      <c r="I64" s="9" t="s">
        <v>417</v>
      </c>
      <c r="J64" s="9" t="s">
        <v>1977</v>
      </c>
      <c r="K64" s="9"/>
      <c r="L64" s="13" t="n">
        <v>3</v>
      </c>
      <c r="M64" s="13" t="s">
        <v>2755</v>
      </c>
      <c r="N64" s="13" t="s">
        <v>2756</v>
      </c>
      <c r="O64" s="13" t="s">
        <v>2757</v>
      </c>
      <c r="P64" s="13" t="s">
        <v>2758</v>
      </c>
      <c r="Q64" s="13" t="s">
        <v>2759</v>
      </c>
      <c r="R64" s="13" t="s">
        <v>2097</v>
      </c>
      <c r="S64" s="13" t="s">
        <v>2760</v>
      </c>
      <c r="T64" s="13" t="s">
        <v>2761</v>
      </c>
      <c r="U64" s="13" t="s">
        <v>2762</v>
      </c>
      <c r="V64" s="13" t="s">
        <v>2763</v>
      </c>
      <c r="W64" s="13" t="s">
        <v>2589</v>
      </c>
      <c r="X64" s="13"/>
      <c r="Y64" s="13"/>
      <c r="Z64" s="14"/>
    </row>
    <row r="65" customFormat="false" ht="57" hidden="false" customHeight="true" outlineLevel="0" collapsed="false">
      <c r="A65" s="9" t="s">
        <v>2764</v>
      </c>
      <c r="B65" s="9" t="s">
        <v>124</v>
      </c>
      <c r="C65" s="9" t="s">
        <v>1648</v>
      </c>
      <c r="D65" s="9" t="s">
        <v>2765</v>
      </c>
      <c r="E65" s="9" t="s">
        <v>1136</v>
      </c>
      <c r="F65" s="9" t="s">
        <v>2312</v>
      </c>
      <c r="G65" s="11" t="n">
        <v>400</v>
      </c>
      <c r="H65" s="9" t="s">
        <v>73</v>
      </c>
      <c r="I65" s="9" t="s">
        <v>417</v>
      </c>
      <c r="J65" s="9" t="s">
        <v>1977</v>
      </c>
      <c r="K65" s="9" t="s">
        <v>2655</v>
      </c>
      <c r="L65" s="13" t="n">
        <v>4</v>
      </c>
      <c r="M65" s="13" t="s">
        <v>2766</v>
      </c>
      <c r="N65" s="13" t="s">
        <v>2767</v>
      </c>
      <c r="O65" s="13" t="s">
        <v>2768</v>
      </c>
      <c r="P65" s="13" t="s">
        <v>2769</v>
      </c>
      <c r="Q65" s="13" t="s">
        <v>2770</v>
      </c>
      <c r="R65" s="13" t="s">
        <v>2771</v>
      </c>
      <c r="S65" s="13" t="s">
        <v>2772</v>
      </c>
      <c r="T65" s="13" t="s">
        <v>2773</v>
      </c>
      <c r="U65" s="13" t="s">
        <v>2774</v>
      </c>
      <c r="V65" s="13" t="s">
        <v>2775</v>
      </c>
      <c r="W65" s="13" t="s">
        <v>2776</v>
      </c>
      <c r="X65" s="13" t="s">
        <v>2777</v>
      </c>
      <c r="Y65" s="13" t="s">
        <v>2778</v>
      </c>
      <c r="Z65" s="14"/>
    </row>
    <row r="66" customFormat="false" ht="34.5" hidden="false" customHeight="true" outlineLevel="0" collapsed="false">
      <c r="A66" s="9" t="s">
        <v>2779</v>
      </c>
      <c r="B66" s="9" t="s">
        <v>139</v>
      </c>
      <c r="C66" s="9" t="s">
        <v>1682</v>
      </c>
      <c r="D66" s="9" t="s">
        <v>2780</v>
      </c>
      <c r="E66" s="9" t="s">
        <v>1135</v>
      </c>
      <c r="F66" s="9" t="s">
        <v>2002</v>
      </c>
      <c r="G66" s="11" t="n">
        <v>20</v>
      </c>
      <c r="H66" s="9" t="s">
        <v>73</v>
      </c>
      <c r="I66" s="9" t="s">
        <v>379</v>
      </c>
      <c r="J66" s="9" t="s">
        <v>1977</v>
      </c>
      <c r="K66" s="9"/>
      <c r="L66" s="13" t="n">
        <v>1</v>
      </c>
      <c r="M66" s="13" t="s">
        <v>2781</v>
      </c>
      <c r="N66" s="13" t="s">
        <v>2782</v>
      </c>
      <c r="O66" s="13" t="s">
        <v>2783</v>
      </c>
      <c r="P66" s="13" t="s">
        <v>2784</v>
      </c>
      <c r="Q66" s="13" t="s">
        <v>2785</v>
      </c>
      <c r="R66" s="13" t="s">
        <v>2786</v>
      </c>
      <c r="S66" s="13" t="s">
        <v>2787</v>
      </c>
      <c r="T66" s="13" t="s">
        <v>2788</v>
      </c>
      <c r="U66" s="13" t="s">
        <v>2789</v>
      </c>
      <c r="V66" s="13" t="s">
        <v>2790</v>
      </c>
      <c r="W66" s="13"/>
      <c r="X66" s="13"/>
      <c r="Y66" s="13"/>
      <c r="Z66" s="14"/>
    </row>
    <row r="67" customFormat="false" ht="45.75" hidden="false" customHeight="true" outlineLevel="0" collapsed="false">
      <c r="A67" s="9" t="s">
        <v>2791</v>
      </c>
      <c r="B67" s="9" t="s">
        <v>139</v>
      </c>
      <c r="C67" s="9" t="s">
        <v>1669</v>
      </c>
      <c r="D67" s="9" t="s">
        <v>2792</v>
      </c>
      <c r="E67" s="9" t="s">
        <v>1134</v>
      </c>
      <c r="F67" s="9" t="s">
        <v>1976</v>
      </c>
      <c r="G67" s="11" t="n">
        <v>80</v>
      </c>
      <c r="H67" s="9" t="s">
        <v>73</v>
      </c>
      <c r="I67" s="9" t="s">
        <v>379</v>
      </c>
      <c r="J67" s="9" t="s">
        <v>1977</v>
      </c>
      <c r="K67" s="9"/>
      <c r="L67" s="13" t="n">
        <v>1</v>
      </c>
      <c r="M67" s="13" t="s">
        <v>2793</v>
      </c>
      <c r="N67" s="13" t="s">
        <v>2794</v>
      </c>
      <c r="O67" s="13" t="s">
        <v>2795</v>
      </c>
      <c r="P67" s="13" t="s">
        <v>2796</v>
      </c>
      <c r="Q67" s="13" t="s">
        <v>2797</v>
      </c>
      <c r="R67" s="13" t="s">
        <v>847</v>
      </c>
      <c r="S67" s="13" t="s">
        <v>2798</v>
      </c>
      <c r="T67" s="13" t="s">
        <v>2799</v>
      </c>
      <c r="U67" s="13" t="s">
        <v>2800</v>
      </c>
      <c r="V67" s="13" t="s">
        <v>2801</v>
      </c>
      <c r="W67" s="13" t="s">
        <v>2779</v>
      </c>
      <c r="X67" s="13"/>
      <c r="Y67" s="13"/>
      <c r="Z67" s="14"/>
    </row>
    <row r="68" customFormat="false" ht="45.75" hidden="false" customHeight="true" outlineLevel="0" collapsed="false">
      <c r="A68" s="9" t="s">
        <v>2802</v>
      </c>
      <c r="B68" s="9" t="s">
        <v>139</v>
      </c>
      <c r="C68" s="9" t="s">
        <v>1669</v>
      </c>
      <c r="D68" s="9" t="s">
        <v>2803</v>
      </c>
      <c r="E68" s="9" t="s">
        <v>1135</v>
      </c>
      <c r="F68" s="9" t="s">
        <v>1976</v>
      </c>
      <c r="G68" s="11" t="n">
        <v>100</v>
      </c>
      <c r="H68" s="9" t="s">
        <v>73</v>
      </c>
      <c r="I68" s="9" t="s">
        <v>379</v>
      </c>
      <c r="J68" s="9" t="s">
        <v>1977</v>
      </c>
      <c r="K68" s="9"/>
      <c r="L68" s="13" t="n">
        <v>2</v>
      </c>
      <c r="M68" s="13" t="s">
        <v>2804</v>
      </c>
      <c r="N68" s="13" t="s">
        <v>2805</v>
      </c>
      <c r="O68" s="13" t="s">
        <v>2806</v>
      </c>
      <c r="P68" s="13" t="s">
        <v>2807</v>
      </c>
      <c r="Q68" s="13" t="s">
        <v>2808</v>
      </c>
      <c r="R68" s="13" t="s">
        <v>2809</v>
      </c>
      <c r="S68" s="13" t="s">
        <v>2810</v>
      </c>
      <c r="T68" s="13" t="s">
        <v>2811</v>
      </c>
      <c r="U68" s="13" t="s">
        <v>2812</v>
      </c>
      <c r="V68" s="13" t="s">
        <v>2813</v>
      </c>
      <c r="W68" s="13"/>
      <c r="X68" s="13"/>
      <c r="Y68" s="13"/>
      <c r="Z68" s="14"/>
    </row>
    <row r="69" customFormat="false" ht="45.75" hidden="false" customHeight="true" outlineLevel="0" collapsed="false">
      <c r="A69" s="9" t="s">
        <v>2814</v>
      </c>
      <c r="B69" s="9" t="s">
        <v>139</v>
      </c>
      <c r="C69" s="9" t="s">
        <v>1669</v>
      </c>
      <c r="D69" s="9" t="s">
        <v>2815</v>
      </c>
      <c r="E69" s="9" t="s">
        <v>1133</v>
      </c>
      <c r="F69" s="9" t="s">
        <v>2002</v>
      </c>
      <c r="G69" s="11" t="n">
        <v>30</v>
      </c>
      <c r="H69" s="9" t="s">
        <v>73</v>
      </c>
      <c r="I69" s="9" t="s">
        <v>2026</v>
      </c>
      <c r="J69" s="9" t="s">
        <v>1977</v>
      </c>
      <c r="K69" s="9"/>
      <c r="L69" s="13" t="n">
        <v>2</v>
      </c>
      <c r="M69" s="13" t="s">
        <v>2816</v>
      </c>
      <c r="N69" s="13" t="s">
        <v>2817</v>
      </c>
      <c r="O69" s="13" t="s">
        <v>2818</v>
      </c>
      <c r="P69" s="13" t="s">
        <v>2819</v>
      </c>
      <c r="Q69" s="13" t="s">
        <v>2820</v>
      </c>
      <c r="R69" s="13" t="s">
        <v>2821</v>
      </c>
      <c r="S69" s="13" t="s">
        <v>2822</v>
      </c>
      <c r="T69" s="13" t="s">
        <v>2823</v>
      </c>
      <c r="U69" s="13" t="s">
        <v>2824</v>
      </c>
      <c r="V69" s="13" t="s">
        <v>2825</v>
      </c>
      <c r="W69" s="13" t="s">
        <v>2791</v>
      </c>
      <c r="X69" s="13" t="s">
        <v>2826</v>
      </c>
      <c r="Y69" s="13" t="s">
        <v>2827</v>
      </c>
      <c r="Z69" s="14"/>
    </row>
    <row r="70" customFormat="false" ht="45.75" hidden="false" customHeight="true" outlineLevel="0" collapsed="false">
      <c r="A70" s="9" t="s">
        <v>2828</v>
      </c>
      <c r="B70" s="9" t="s">
        <v>139</v>
      </c>
      <c r="C70" s="9" t="s">
        <v>1669</v>
      </c>
      <c r="D70" s="9" t="s">
        <v>2829</v>
      </c>
      <c r="E70" s="9" t="s">
        <v>1134</v>
      </c>
      <c r="F70" s="9" t="s">
        <v>2002</v>
      </c>
      <c r="G70" s="11" t="n">
        <v>25</v>
      </c>
      <c r="H70" s="9" t="s">
        <v>73</v>
      </c>
      <c r="I70" s="9" t="s">
        <v>2026</v>
      </c>
      <c r="J70" s="9" t="s">
        <v>1977</v>
      </c>
      <c r="K70" s="9"/>
      <c r="L70" s="13" t="n">
        <v>2</v>
      </c>
      <c r="M70" s="13" t="s">
        <v>2830</v>
      </c>
      <c r="N70" s="13" t="s">
        <v>2831</v>
      </c>
      <c r="O70" s="13" t="s">
        <v>2832</v>
      </c>
      <c r="P70" s="13" t="s">
        <v>2833</v>
      </c>
      <c r="Q70" s="13" t="s">
        <v>2834</v>
      </c>
      <c r="R70" s="13" t="s">
        <v>2835</v>
      </c>
      <c r="S70" s="13" t="s">
        <v>2836</v>
      </c>
      <c r="T70" s="13" t="s">
        <v>2837</v>
      </c>
      <c r="U70" s="13" t="s">
        <v>2838</v>
      </c>
      <c r="V70" s="13" t="s">
        <v>2839</v>
      </c>
      <c r="W70" s="13" t="s">
        <v>2814</v>
      </c>
      <c r="X70" s="13"/>
      <c r="Y70" s="13"/>
      <c r="Z70" s="14"/>
    </row>
    <row r="71" customFormat="false" ht="45.75" hidden="false" customHeight="true" outlineLevel="0" collapsed="false">
      <c r="A71" s="9" t="s">
        <v>2840</v>
      </c>
      <c r="B71" s="9" t="s">
        <v>139</v>
      </c>
      <c r="C71" s="9" t="s">
        <v>1669</v>
      </c>
      <c r="D71" s="9" t="s">
        <v>2841</v>
      </c>
      <c r="E71" s="9" t="s">
        <v>1135</v>
      </c>
      <c r="F71" s="9" t="s">
        <v>2312</v>
      </c>
      <c r="G71" s="11" t="n">
        <v>250</v>
      </c>
      <c r="H71" s="9" t="s">
        <v>73</v>
      </c>
      <c r="I71" s="9" t="s">
        <v>2026</v>
      </c>
      <c r="J71" s="9" t="s">
        <v>2842</v>
      </c>
      <c r="K71" s="9" t="s">
        <v>2843</v>
      </c>
      <c r="L71" s="13" t="n">
        <v>2</v>
      </c>
      <c r="M71" s="13" t="s">
        <v>2844</v>
      </c>
      <c r="N71" s="13" t="s">
        <v>2845</v>
      </c>
      <c r="O71" s="13" t="s">
        <v>2846</v>
      </c>
      <c r="P71" s="13" t="s">
        <v>2847</v>
      </c>
      <c r="Q71" s="13" t="s">
        <v>2848</v>
      </c>
      <c r="R71" s="13" t="s">
        <v>2849</v>
      </c>
      <c r="S71" s="13" t="s">
        <v>2850</v>
      </c>
      <c r="T71" s="13" t="s">
        <v>2851</v>
      </c>
      <c r="U71" s="13" t="s">
        <v>2852</v>
      </c>
      <c r="V71" s="13" t="s">
        <v>2853</v>
      </c>
      <c r="W71" s="13" t="s">
        <v>2854</v>
      </c>
      <c r="X71" s="13" t="s">
        <v>2855</v>
      </c>
      <c r="Y71" s="13" t="s">
        <v>2856</v>
      </c>
      <c r="Z71" s="14"/>
    </row>
    <row r="72" customFormat="false" ht="57" hidden="false" customHeight="true" outlineLevel="0" collapsed="false">
      <c r="A72" s="9" t="s">
        <v>2857</v>
      </c>
      <c r="B72" s="9" t="s">
        <v>139</v>
      </c>
      <c r="C72" s="9" t="s">
        <v>1669</v>
      </c>
      <c r="D72" s="9" t="s">
        <v>2858</v>
      </c>
      <c r="E72" s="9" t="s">
        <v>1140</v>
      </c>
      <c r="F72" s="9" t="s">
        <v>1976</v>
      </c>
      <c r="G72" s="11" t="n">
        <v>50</v>
      </c>
      <c r="H72" s="9" t="s">
        <v>73</v>
      </c>
      <c r="I72" s="9" t="s">
        <v>2026</v>
      </c>
      <c r="J72" s="9" t="s">
        <v>2842</v>
      </c>
      <c r="K72" s="9" t="s">
        <v>2859</v>
      </c>
      <c r="L72" s="13" t="n">
        <v>2</v>
      </c>
      <c r="M72" s="13" t="s">
        <v>2860</v>
      </c>
      <c r="N72" s="13" t="s">
        <v>2861</v>
      </c>
      <c r="O72" s="13" t="s">
        <v>2862</v>
      </c>
      <c r="P72" s="13" t="s">
        <v>2863</v>
      </c>
      <c r="Q72" s="13" t="s">
        <v>2864</v>
      </c>
      <c r="R72" s="13" t="s">
        <v>2865</v>
      </c>
      <c r="S72" s="13" t="s">
        <v>2866</v>
      </c>
      <c r="T72" s="13" t="s">
        <v>2867</v>
      </c>
      <c r="U72" s="13" t="s">
        <v>2868</v>
      </c>
      <c r="V72" s="13" t="s">
        <v>2869</v>
      </c>
      <c r="W72" s="13" t="s">
        <v>2802</v>
      </c>
      <c r="X72" s="13"/>
      <c r="Y72" s="13"/>
      <c r="Z72" s="14"/>
    </row>
    <row r="73" customFormat="false" ht="45.75" hidden="false" customHeight="true" outlineLevel="0" collapsed="false">
      <c r="A73" s="9" t="s">
        <v>2870</v>
      </c>
      <c r="B73" s="9" t="s">
        <v>139</v>
      </c>
      <c r="C73" s="9" t="s">
        <v>1669</v>
      </c>
      <c r="D73" s="9" t="s">
        <v>2871</v>
      </c>
      <c r="E73" s="9" t="s">
        <v>1137</v>
      </c>
      <c r="F73" s="9" t="s">
        <v>2002</v>
      </c>
      <c r="G73" s="11" t="n">
        <v>30</v>
      </c>
      <c r="H73" s="9" t="s">
        <v>73</v>
      </c>
      <c r="I73" s="9" t="s">
        <v>2026</v>
      </c>
      <c r="J73" s="9" t="s">
        <v>1977</v>
      </c>
      <c r="K73" s="9"/>
      <c r="L73" s="13" t="n">
        <v>2</v>
      </c>
      <c r="M73" s="13" t="s">
        <v>2872</v>
      </c>
      <c r="N73" s="13" t="s">
        <v>2873</v>
      </c>
      <c r="O73" s="13" t="s">
        <v>2874</v>
      </c>
      <c r="P73" s="13" t="s">
        <v>2875</v>
      </c>
      <c r="Q73" s="13" t="s">
        <v>2876</v>
      </c>
      <c r="R73" s="13" t="s">
        <v>2877</v>
      </c>
      <c r="S73" s="13" t="s">
        <v>2878</v>
      </c>
      <c r="T73" s="13" t="s">
        <v>2879</v>
      </c>
      <c r="U73" s="13" t="s">
        <v>2880</v>
      </c>
      <c r="V73" s="13" t="s">
        <v>2881</v>
      </c>
      <c r="W73" s="13" t="s">
        <v>2882</v>
      </c>
      <c r="X73" s="13" t="s">
        <v>2883</v>
      </c>
      <c r="Y73" s="13" t="s">
        <v>2884</v>
      </c>
      <c r="Z73" s="14"/>
    </row>
    <row r="74" customFormat="false" ht="45.75" hidden="false" customHeight="true" outlineLevel="0" collapsed="false">
      <c r="A74" s="9" t="s">
        <v>2885</v>
      </c>
      <c r="B74" s="9" t="s">
        <v>139</v>
      </c>
      <c r="C74" s="9" t="s">
        <v>1682</v>
      </c>
      <c r="D74" s="9" t="s">
        <v>2886</v>
      </c>
      <c r="E74" s="9" t="s">
        <v>1136</v>
      </c>
      <c r="F74" s="9" t="s">
        <v>1976</v>
      </c>
      <c r="G74" s="11" t="n">
        <v>100</v>
      </c>
      <c r="H74" s="9" t="s">
        <v>73</v>
      </c>
      <c r="I74" s="9" t="s">
        <v>2026</v>
      </c>
      <c r="J74" s="9" t="s">
        <v>1977</v>
      </c>
      <c r="K74" s="9"/>
      <c r="L74" s="13" t="n">
        <v>2</v>
      </c>
      <c r="M74" s="13" t="s">
        <v>2887</v>
      </c>
      <c r="N74" s="13" t="s">
        <v>2888</v>
      </c>
      <c r="O74" s="13" t="s">
        <v>2889</v>
      </c>
      <c r="P74" s="13" t="s">
        <v>2890</v>
      </c>
      <c r="Q74" s="13" t="s">
        <v>2891</v>
      </c>
      <c r="R74" s="13" t="s">
        <v>2892</v>
      </c>
      <c r="S74" s="13" t="s">
        <v>2893</v>
      </c>
      <c r="T74" s="13" t="s">
        <v>2894</v>
      </c>
      <c r="U74" s="13" t="s">
        <v>2895</v>
      </c>
      <c r="V74" s="13" t="s">
        <v>2896</v>
      </c>
      <c r="W74" s="13" t="s">
        <v>2870</v>
      </c>
      <c r="X74" s="13" t="s">
        <v>2897</v>
      </c>
      <c r="Y74" s="13" t="s">
        <v>2898</v>
      </c>
      <c r="Z74" s="14"/>
    </row>
    <row r="75" customFormat="false" ht="34.5" hidden="false" customHeight="true" outlineLevel="0" collapsed="false">
      <c r="A75" s="9" t="s">
        <v>2899</v>
      </c>
      <c r="B75" s="9" t="s">
        <v>139</v>
      </c>
      <c r="C75" s="9" t="s">
        <v>1682</v>
      </c>
      <c r="D75" s="9" t="s">
        <v>2900</v>
      </c>
      <c r="E75" s="9" t="s">
        <v>1137</v>
      </c>
      <c r="F75" s="9" t="s">
        <v>2002</v>
      </c>
      <c r="G75" s="11" t="n">
        <v>25</v>
      </c>
      <c r="H75" s="9" t="s">
        <v>73</v>
      </c>
      <c r="I75" s="9" t="s">
        <v>2026</v>
      </c>
      <c r="J75" s="9" t="s">
        <v>1977</v>
      </c>
      <c r="K75" s="9"/>
      <c r="L75" s="13" t="n">
        <v>2</v>
      </c>
      <c r="M75" s="13" t="s">
        <v>2901</v>
      </c>
      <c r="N75" s="13" t="s">
        <v>2902</v>
      </c>
      <c r="O75" s="13" t="s">
        <v>2903</v>
      </c>
      <c r="P75" s="13" t="s">
        <v>2904</v>
      </c>
      <c r="Q75" s="13" t="s">
        <v>2905</v>
      </c>
      <c r="R75" s="13" t="s">
        <v>2906</v>
      </c>
      <c r="S75" s="13" t="s">
        <v>2907</v>
      </c>
      <c r="T75" s="13" t="s">
        <v>2908</v>
      </c>
      <c r="U75" s="13" t="s">
        <v>2909</v>
      </c>
      <c r="V75" s="13" t="s">
        <v>2910</v>
      </c>
      <c r="W75" s="13" t="s">
        <v>2779</v>
      </c>
      <c r="X75" s="13"/>
      <c r="Y75" s="13"/>
      <c r="Z75" s="14"/>
    </row>
    <row r="76" customFormat="false" ht="45.75" hidden="false" customHeight="true" outlineLevel="0" collapsed="false">
      <c r="A76" s="9" t="s">
        <v>2911</v>
      </c>
      <c r="B76" s="9" t="s">
        <v>139</v>
      </c>
      <c r="C76" s="9" t="s">
        <v>1669</v>
      </c>
      <c r="D76" s="9" t="s">
        <v>2912</v>
      </c>
      <c r="E76" s="9" t="s">
        <v>1138</v>
      </c>
      <c r="F76" s="9" t="s">
        <v>2002</v>
      </c>
      <c r="G76" s="11" t="n">
        <v>30</v>
      </c>
      <c r="H76" s="9" t="s">
        <v>73</v>
      </c>
      <c r="I76" s="9" t="s">
        <v>2026</v>
      </c>
      <c r="J76" s="9" t="s">
        <v>1977</v>
      </c>
      <c r="K76" s="9"/>
      <c r="L76" s="13" t="n">
        <v>2</v>
      </c>
      <c r="M76" s="13" t="s">
        <v>2014</v>
      </c>
      <c r="N76" s="13" t="s">
        <v>2913</v>
      </c>
      <c r="O76" s="13" t="s">
        <v>2914</v>
      </c>
      <c r="P76" s="13" t="s">
        <v>2915</v>
      </c>
      <c r="Q76" s="13" t="s">
        <v>2916</v>
      </c>
      <c r="R76" s="13" t="s">
        <v>2019</v>
      </c>
      <c r="S76" s="13" t="s">
        <v>2917</v>
      </c>
      <c r="T76" s="13" t="s">
        <v>2918</v>
      </c>
      <c r="U76" s="13" t="s">
        <v>2919</v>
      </c>
      <c r="V76" s="13" t="s">
        <v>2023</v>
      </c>
      <c r="W76" s="13" t="s">
        <v>2814</v>
      </c>
      <c r="X76" s="13"/>
      <c r="Y76" s="13"/>
      <c r="Z76" s="14"/>
    </row>
    <row r="77" customFormat="false" ht="34.5" hidden="false" customHeight="true" outlineLevel="0" collapsed="false">
      <c r="A77" s="9" t="s">
        <v>2920</v>
      </c>
      <c r="B77" s="9" t="s">
        <v>139</v>
      </c>
      <c r="C77" s="9" t="s">
        <v>1669</v>
      </c>
      <c r="D77" s="9" t="s">
        <v>2921</v>
      </c>
      <c r="E77" s="9" t="s">
        <v>1139</v>
      </c>
      <c r="F77" s="9" t="s">
        <v>2002</v>
      </c>
      <c r="G77" s="11" t="n">
        <v>0</v>
      </c>
      <c r="H77" s="9" t="s">
        <v>73</v>
      </c>
      <c r="I77" s="9" t="s">
        <v>2026</v>
      </c>
      <c r="J77" s="9" t="s">
        <v>1977</v>
      </c>
      <c r="K77" s="9"/>
      <c r="L77" s="13" t="n">
        <v>2</v>
      </c>
      <c r="M77" s="13" t="s">
        <v>2922</v>
      </c>
      <c r="N77" s="13" t="s">
        <v>2923</v>
      </c>
      <c r="O77" s="13" t="s">
        <v>2924</v>
      </c>
      <c r="P77" s="13" t="s">
        <v>2145</v>
      </c>
      <c r="Q77" s="13" t="s">
        <v>2418</v>
      </c>
      <c r="R77" s="13" t="s">
        <v>2419</v>
      </c>
      <c r="S77" s="13" t="s">
        <v>2925</v>
      </c>
      <c r="T77" s="13" t="s">
        <v>2259</v>
      </c>
      <c r="U77" s="13" t="s">
        <v>2422</v>
      </c>
      <c r="V77" s="13" t="s">
        <v>2128</v>
      </c>
      <c r="W77" s="13"/>
      <c r="X77" s="13"/>
      <c r="Y77" s="13"/>
      <c r="Z77" s="14"/>
    </row>
    <row r="78" customFormat="false" ht="34.5" hidden="false" customHeight="true" outlineLevel="0" collapsed="false">
      <c r="A78" s="9" t="s">
        <v>2926</v>
      </c>
      <c r="B78" s="9" t="s">
        <v>139</v>
      </c>
      <c r="C78" s="9" t="s">
        <v>1682</v>
      </c>
      <c r="D78" s="9" t="s">
        <v>2927</v>
      </c>
      <c r="E78" s="9" t="s">
        <v>1136</v>
      </c>
      <c r="F78" s="9" t="s">
        <v>2312</v>
      </c>
      <c r="G78" s="11" t="n">
        <v>300</v>
      </c>
      <c r="H78" s="9" t="s">
        <v>73</v>
      </c>
      <c r="I78" s="9" t="s">
        <v>417</v>
      </c>
      <c r="J78" s="9" t="s">
        <v>1977</v>
      </c>
      <c r="K78" s="9"/>
      <c r="L78" s="13" t="n">
        <v>3</v>
      </c>
      <c r="M78" s="13" t="s">
        <v>2928</v>
      </c>
      <c r="N78" s="13" t="s">
        <v>2929</v>
      </c>
      <c r="O78" s="13" t="s">
        <v>2930</v>
      </c>
      <c r="P78" s="13" t="s">
        <v>2931</v>
      </c>
      <c r="Q78" s="13" t="s">
        <v>2932</v>
      </c>
      <c r="R78" s="13" t="s">
        <v>2933</v>
      </c>
      <c r="S78" s="13" t="s">
        <v>2934</v>
      </c>
      <c r="T78" s="13" t="s">
        <v>2935</v>
      </c>
      <c r="U78" s="13" t="s">
        <v>2936</v>
      </c>
      <c r="V78" s="13" t="s">
        <v>2937</v>
      </c>
      <c r="W78" s="13" t="s">
        <v>2885</v>
      </c>
      <c r="X78" s="13" t="s">
        <v>2938</v>
      </c>
      <c r="Y78" s="13" t="s">
        <v>2939</v>
      </c>
      <c r="Z78" s="14"/>
    </row>
    <row r="79" customFormat="false" ht="34.5" hidden="false" customHeight="true" outlineLevel="0" collapsed="false">
      <c r="A79" s="9" t="s">
        <v>2940</v>
      </c>
      <c r="B79" s="9" t="s">
        <v>139</v>
      </c>
      <c r="C79" s="9" t="s">
        <v>1669</v>
      </c>
      <c r="D79" s="9" t="s">
        <v>2941</v>
      </c>
      <c r="E79" s="9" t="s">
        <v>1137</v>
      </c>
      <c r="F79" s="9" t="s">
        <v>1976</v>
      </c>
      <c r="G79" s="11" t="n">
        <v>80</v>
      </c>
      <c r="H79" s="9" t="s">
        <v>73</v>
      </c>
      <c r="I79" s="9" t="s">
        <v>417</v>
      </c>
      <c r="J79" s="9" t="s">
        <v>1977</v>
      </c>
      <c r="K79" s="9"/>
      <c r="L79" s="13" t="n">
        <v>3</v>
      </c>
      <c r="M79" s="13" t="s">
        <v>2942</v>
      </c>
      <c r="N79" s="13" t="s">
        <v>2943</v>
      </c>
      <c r="O79" s="13" t="s">
        <v>2944</v>
      </c>
      <c r="P79" s="13" t="s">
        <v>2945</v>
      </c>
      <c r="Q79" s="13" t="s">
        <v>2946</v>
      </c>
      <c r="R79" s="13" t="s">
        <v>2097</v>
      </c>
      <c r="S79" s="13" t="s">
        <v>2947</v>
      </c>
      <c r="T79" s="13" t="s">
        <v>2948</v>
      </c>
      <c r="U79" s="13" t="s">
        <v>2949</v>
      </c>
      <c r="V79" s="13" t="s">
        <v>2950</v>
      </c>
      <c r="W79" s="13" t="s">
        <v>2926</v>
      </c>
      <c r="X79" s="13"/>
      <c r="Y79" s="13"/>
      <c r="Z79" s="14"/>
    </row>
    <row r="80" customFormat="false" ht="45.75" hidden="false" customHeight="true" outlineLevel="0" collapsed="false">
      <c r="A80" s="9" t="s">
        <v>2951</v>
      </c>
      <c r="B80" s="9" t="s">
        <v>139</v>
      </c>
      <c r="C80" s="9" t="s">
        <v>1682</v>
      </c>
      <c r="D80" s="9" t="s">
        <v>2952</v>
      </c>
      <c r="E80" s="9" t="s">
        <v>1136</v>
      </c>
      <c r="F80" s="9" t="s">
        <v>2312</v>
      </c>
      <c r="G80" s="11" t="n">
        <v>300</v>
      </c>
      <c r="H80" s="9" t="s">
        <v>73</v>
      </c>
      <c r="I80" s="9" t="s">
        <v>417</v>
      </c>
      <c r="J80" s="9" t="s">
        <v>1977</v>
      </c>
      <c r="K80" s="9"/>
      <c r="L80" s="13" t="n">
        <v>4</v>
      </c>
      <c r="M80" s="13" t="s">
        <v>2953</v>
      </c>
      <c r="N80" s="13" t="s">
        <v>2954</v>
      </c>
      <c r="O80" s="13" t="s">
        <v>2955</v>
      </c>
      <c r="P80" s="13" t="s">
        <v>2956</v>
      </c>
      <c r="Q80" s="13" t="s">
        <v>2957</v>
      </c>
      <c r="R80" s="13" t="s">
        <v>2958</v>
      </c>
      <c r="S80" s="13" t="s">
        <v>2959</v>
      </c>
      <c r="T80" s="13" t="s">
        <v>2960</v>
      </c>
      <c r="U80" s="13" t="s">
        <v>2961</v>
      </c>
      <c r="V80" s="13" t="s">
        <v>2962</v>
      </c>
      <c r="W80" s="13" t="s">
        <v>2940</v>
      </c>
      <c r="X80" s="13"/>
      <c r="Y80" s="13"/>
      <c r="Z80" s="14"/>
    </row>
    <row r="81" customFormat="false" ht="34.5" hidden="false" customHeight="true" outlineLevel="0" collapsed="false">
      <c r="A81" s="9" t="s">
        <v>2963</v>
      </c>
      <c r="B81" s="9" t="s">
        <v>157</v>
      </c>
      <c r="C81" s="9" t="s">
        <v>1694</v>
      </c>
      <c r="D81" s="9" t="s">
        <v>2964</v>
      </c>
      <c r="E81" s="9" t="s">
        <v>1139</v>
      </c>
      <c r="F81" s="9" t="s">
        <v>2002</v>
      </c>
      <c r="G81" s="11" t="n">
        <v>0</v>
      </c>
      <c r="H81" s="9" t="s">
        <v>73</v>
      </c>
      <c r="I81" s="9" t="s">
        <v>2026</v>
      </c>
      <c r="J81" s="9" t="s">
        <v>1977</v>
      </c>
      <c r="K81" s="9"/>
      <c r="L81" s="13" t="n">
        <v>1</v>
      </c>
      <c r="M81" s="13" t="s">
        <v>2965</v>
      </c>
      <c r="N81" s="13" t="s">
        <v>2966</v>
      </c>
      <c r="O81" s="13" t="s">
        <v>2967</v>
      </c>
      <c r="P81" s="13" t="s">
        <v>2145</v>
      </c>
      <c r="Q81" s="13" t="s">
        <v>2968</v>
      </c>
      <c r="R81" s="13" t="s">
        <v>2419</v>
      </c>
      <c r="S81" s="13" t="s">
        <v>2969</v>
      </c>
      <c r="T81" s="13" t="s">
        <v>2737</v>
      </c>
      <c r="U81" s="13" t="s">
        <v>2422</v>
      </c>
      <c r="V81" s="13" t="s">
        <v>2128</v>
      </c>
      <c r="W81" s="13"/>
      <c r="X81" s="13"/>
      <c r="Y81" s="13"/>
      <c r="Z81" s="14"/>
    </row>
    <row r="82" customFormat="false" ht="45.75" hidden="false" customHeight="true" outlineLevel="0" collapsed="false">
      <c r="A82" s="9" t="s">
        <v>2970</v>
      </c>
      <c r="B82" s="9" t="s">
        <v>157</v>
      </c>
      <c r="C82" s="9" t="s">
        <v>1694</v>
      </c>
      <c r="D82" s="9" t="s">
        <v>2971</v>
      </c>
      <c r="E82" s="9" t="s">
        <v>1133</v>
      </c>
      <c r="F82" s="9" t="s">
        <v>2002</v>
      </c>
      <c r="G82" s="11" t="n">
        <v>30</v>
      </c>
      <c r="H82" s="9" t="s">
        <v>73</v>
      </c>
      <c r="I82" s="9" t="s">
        <v>2026</v>
      </c>
      <c r="J82" s="9" t="s">
        <v>1977</v>
      </c>
      <c r="K82" s="9"/>
      <c r="L82" s="13" t="n">
        <v>1</v>
      </c>
      <c r="M82" s="13" t="s">
        <v>2972</v>
      </c>
      <c r="N82" s="13" t="s">
        <v>2973</v>
      </c>
      <c r="O82" s="13" t="s">
        <v>2974</v>
      </c>
      <c r="P82" s="13" t="s">
        <v>2975</v>
      </c>
      <c r="Q82" s="13" t="s">
        <v>2976</v>
      </c>
      <c r="R82" s="13" t="s">
        <v>2097</v>
      </c>
      <c r="S82" s="13" t="s">
        <v>2977</v>
      </c>
      <c r="T82" s="13" t="s">
        <v>2978</v>
      </c>
      <c r="U82" s="13" t="s">
        <v>2979</v>
      </c>
      <c r="V82" s="13" t="s">
        <v>2980</v>
      </c>
      <c r="W82" s="13"/>
      <c r="X82" s="13" t="s">
        <v>2981</v>
      </c>
      <c r="Y82" s="13" t="s">
        <v>2982</v>
      </c>
      <c r="Z82" s="14"/>
    </row>
    <row r="83" customFormat="false" ht="45.75" hidden="false" customHeight="true" outlineLevel="0" collapsed="false">
      <c r="A83" s="9" t="s">
        <v>2983</v>
      </c>
      <c r="B83" s="9" t="s">
        <v>157</v>
      </c>
      <c r="C83" s="9" t="s">
        <v>1694</v>
      </c>
      <c r="D83" s="9" t="s">
        <v>2984</v>
      </c>
      <c r="E83" s="9" t="s">
        <v>1135</v>
      </c>
      <c r="F83" s="9" t="s">
        <v>1976</v>
      </c>
      <c r="G83" s="11" t="n">
        <v>60</v>
      </c>
      <c r="H83" s="9" t="s">
        <v>73</v>
      </c>
      <c r="I83" s="9" t="s">
        <v>2026</v>
      </c>
      <c r="J83" s="9" t="s">
        <v>1977</v>
      </c>
      <c r="K83" s="9"/>
      <c r="L83" s="13" t="n">
        <v>1</v>
      </c>
      <c r="M83" s="13" t="s">
        <v>2985</v>
      </c>
      <c r="N83" s="13" t="s">
        <v>2986</v>
      </c>
      <c r="O83" s="13" t="s">
        <v>2987</v>
      </c>
      <c r="P83" s="13" t="s">
        <v>2988</v>
      </c>
      <c r="Q83" s="13" t="s">
        <v>2989</v>
      </c>
      <c r="R83" s="13" t="s">
        <v>2990</v>
      </c>
      <c r="S83" s="13" t="s">
        <v>2991</v>
      </c>
      <c r="T83" s="13" t="s">
        <v>2992</v>
      </c>
      <c r="U83" s="13" t="s">
        <v>2993</v>
      </c>
      <c r="V83" s="13" t="s">
        <v>2994</v>
      </c>
      <c r="W83" s="13"/>
      <c r="X83" s="13" t="s">
        <v>2995</v>
      </c>
      <c r="Y83" s="13" t="s">
        <v>2996</v>
      </c>
      <c r="Z83" s="14"/>
    </row>
    <row r="84" customFormat="false" ht="45.75" hidden="false" customHeight="true" outlineLevel="0" collapsed="false">
      <c r="A84" s="9" t="s">
        <v>2997</v>
      </c>
      <c r="B84" s="9" t="s">
        <v>157</v>
      </c>
      <c r="C84" s="9" t="s">
        <v>1694</v>
      </c>
      <c r="D84" s="9" t="s">
        <v>2998</v>
      </c>
      <c r="E84" s="9" t="s">
        <v>1134</v>
      </c>
      <c r="F84" s="9" t="s">
        <v>2002</v>
      </c>
      <c r="G84" s="11" t="n">
        <v>25</v>
      </c>
      <c r="H84" s="9" t="s">
        <v>73</v>
      </c>
      <c r="I84" s="9" t="s">
        <v>2026</v>
      </c>
      <c r="J84" s="9" t="s">
        <v>1977</v>
      </c>
      <c r="K84" s="9"/>
      <c r="L84" s="13" t="n">
        <v>1</v>
      </c>
      <c r="M84" s="13" t="s">
        <v>2999</v>
      </c>
      <c r="N84" s="13" t="s">
        <v>3000</v>
      </c>
      <c r="O84" s="13" t="s">
        <v>3001</v>
      </c>
      <c r="P84" s="13" t="s">
        <v>3002</v>
      </c>
      <c r="Q84" s="13" t="s">
        <v>3003</v>
      </c>
      <c r="R84" s="13" t="s">
        <v>1555</v>
      </c>
      <c r="S84" s="13" t="s">
        <v>3004</v>
      </c>
      <c r="T84" s="13" t="s">
        <v>3005</v>
      </c>
      <c r="U84" s="13" t="s">
        <v>3006</v>
      </c>
      <c r="V84" s="13" t="s">
        <v>3007</v>
      </c>
      <c r="W84" s="13" t="s">
        <v>2983</v>
      </c>
      <c r="X84" s="13"/>
      <c r="Y84" s="13"/>
      <c r="Z84" s="14"/>
    </row>
    <row r="85" customFormat="false" ht="34.5" hidden="false" customHeight="true" outlineLevel="0" collapsed="false">
      <c r="A85" s="9" t="s">
        <v>3008</v>
      </c>
      <c r="B85" s="9" t="s">
        <v>157</v>
      </c>
      <c r="C85" s="9" t="s">
        <v>1694</v>
      </c>
      <c r="D85" s="9" t="s">
        <v>3009</v>
      </c>
      <c r="E85" s="9" t="s">
        <v>1134</v>
      </c>
      <c r="F85" s="9" t="s">
        <v>2002</v>
      </c>
      <c r="G85" s="11" t="n">
        <v>20</v>
      </c>
      <c r="H85" s="9" t="s">
        <v>73</v>
      </c>
      <c r="I85" s="9" t="s">
        <v>417</v>
      </c>
      <c r="J85" s="9" t="s">
        <v>1977</v>
      </c>
      <c r="K85" s="9"/>
      <c r="L85" s="13" t="n">
        <v>1</v>
      </c>
      <c r="M85" s="13" t="s">
        <v>3010</v>
      </c>
      <c r="N85" s="13" t="s">
        <v>3011</v>
      </c>
      <c r="O85" s="13" t="s">
        <v>3012</v>
      </c>
      <c r="P85" s="13" t="s">
        <v>3013</v>
      </c>
      <c r="Q85" s="13" t="s">
        <v>3014</v>
      </c>
      <c r="R85" s="13" t="s">
        <v>1555</v>
      </c>
      <c r="S85" s="13" t="s">
        <v>3015</v>
      </c>
      <c r="T85" s="13" t="s">
        <v>3016</v>
      </c>
      <c r="U85" s="13" t="s">
        <v>3017</v>
      </c>
      <c r="V85" s="13" t="s">
        <v>2128</v>
      </c>
      <c r="W85" s="13" t="s">
        <v>3018</v>
      </c>
      <c r="X85" s="13"/>
      <c r="Y85" s="13"/>
      <c r="Z85" s="14"/>
    </row>
    <row r="86" customFormat="false" ht="45.75" hidden="false" customHeight="true" outlineLevel="0" collapsed="false">
      <c r="A86" s="9" t="s">
        <v>3019</v>
      </c>
      <c r="B86" s="9" t="s">
        <v>157</v>
      </c>
      <c r="C86" s="9" t="s">
        <v>1694</v>
      </c>
      <c r="D86" s="9" t="s">
        <v>3020</v>
      </c>
      <c r="E86" s="9" t="s">
        <v>1135</v>
      </c>
      <c r="F86" s="9" t="s">
        <v>2002</v>
      </c>
      <c r="G86" s="11" t="n">
        <v>30</v>
      </c>
      <c r="H86" s="9" t="s">
        <v>73</v>
      </c>
      <c r="I86" s="9" t="s">
        <v>2026</v>
      </c>
      <c r="J86" s="9" t="s">
        <v>1977</v>
      </c>
      <c r="K86" s="9"/>
      <c r="L86" s="13" t="n">
        <v>1</v>
      </c>
      <c r="M86" s="13" t="s">
        <v>3021</v>
      </c>
      <c r="N86" s="13" t="s">
        <v>3022</v>
      </c>
      <c r="O86" s="13" t="s">
        <v>3023</v>
      </c>
      <c r="P86" s="13" t="s">
        <v>3024</v>
      </c>
      <c r="Q86" s="13" t="s">
        <v>3025</v>
      </c>
      <c r="R86" s="13" t="s">
        <v>1555</v>
      </c>
      <c r="S86" s="13" t="s">
        <v>3026</v>
      </c>
      <c r="T86" s="13" t="s">
        <v>3027</v>
      </c>
      <c r="U86" s="13" t="s">
        <v>3028</v>
      </c>
      <c r="V86" s="13" t="s">
        <v>3029</v>
      </c>
      <c r="W86" s="13"/>
      <c r="X86" s="13"/>
      <c r="Y86" s="13"/>
      <c r="Z86" s="14"/>
    </row>
    <row r="87" customFormat="false" ht="34.5" hidden="false" customHeight="true" outlineLevel="0" collapsed="false">
      <c r="A87" s="9" t="s">
        <v>3030</v>
      </c>
      <c r="B87" s="9" t="s">
        <v>157</v>
      </c>
      <c r="C87" s="9" t="s">
        <v>1694</v>
      </c>
      <c r="D87" s="9" t="s">
        <v>3031</v>
      </c>
      <c r="E87" s="9" t="s">
        <v>1137</v>
      </c>
      <c r="F87" s="9" t="s">
        <v>2002</v>
      </c>
      <c r="G87" s="11" t="n">
        <v>30</v>
      </c>
      <c r="H87" s="9" t="s">
        <v>73</v>
      </c>
      <c r="I87" s="9" t="s">
        <v>2026</v>
      </c>
      <c r="J87" s="9" t="s">
        <v>1977</v>
      </c>
      <c r="K87" s="9"/>
      <c r="L87" s="13" t="n">
        <v>1</v>
      </c>
      <c r="M87" s="13" t="s">
        <v>3032</v>
      </c>
      <c r="N87" s="13" t="s">
        <v>3033</v>
      </c>
      <c r="O87" s="13" t="s">
        <v>3034</v>
      </c>
      <c r="P87" s="13" t="s">
        <v>3035</v>
      </c>
      <c r="Q87" s="13" t="s">
        <v>3036</v>
      </c>
      <c r="R87" s="13" t="s">
        <v>2172</v>
      </c>
      <c r="S87" s="13" t="s">
        <v>3037</v>
      </c>
      <c r="T87" s="13" t="s">
        <v>3038</v>
      </c>
      <c r="U87" s="13" t="s">
        <v>3039</v>
      </c>
      <c r="V87" s="13" t="s">
        <v>2128</v>
      </c>
      <c r="W87" s="13" t="s">
        <v>3019</v>
      </c>
      <c r="X87" s="13"/>
      <c r="Y87" s="13"/>
      <c r="Z87" s="14"/>
    </row>
    <row r="88" customFormat="false" ht="45.75" hidden="false" customHeight="true" outlineLevel="0" collapsed="false">
      <c r="A88" s="9" t="s">
        <v>3040</v>
      </c>
      <c r="B88" s="9" t="s">
        <v>157</v>
      </c>
      <c r="C88" s="9" t="s">
        <v>1694</v>
      </c>
      <c r="D88" s="9" t="s">
        <v>3041</v>
      </c>
      <c r="E88" s="9" t="s">
        <v>1136</v>
      </c>
      <c r="F88" s="9" t="s">
        <v>1976</v>
      </c>
      <c r="G88" s="11" t="n">
        <v>80</v>
      </c>
      <c r="H88" s="9" t="s">
        <v>73</v>
      </c>
      <c r="I88" s="9" t="s">
        <v>2026</v>
      </c>
      <c r="J88" s="9" t="s">
        <v>1977</v>
      </c>
      <c r="K88" s="9"/>
      <c r="L88" s="13" t="n">
        <v>1</v>
      </c>
      <c r="M88" s="13" t="s">
        <v>3042</v>
      </c>
      <c r="N88" s="13" t="s">
        <v>3043</v>
      </c>
      <c r="O88" s="13" t="s">
        <v>3044</v>
      </c>
      <c r="P88" s="13" t="s">
        <v>3045</v>
      </c>
      <c r="Q88" s="13" t="s">
        <v>3046</v>
      </c>
      <c r="R88" s="13" t="s">
        <v>1555</v>
      </c>
      <c r="S88" s="13" t="s">
        <v>3047</v>
      </c>
      <c r="T88" s="13" t="s">
        <v>3048</v>
      </c>
      <c r="U88" s="13" t="s">
        <v>3049</v>
      </c>
      <c r="V88" s="13" t="s">
        <v>3050</v>
      </c>
      <c r="W88" s="13" t="s">
        <v>3051</v>
      </c>
      <c r="X88" s="13" t="s">
        <v>3052</v>
      </c>
      <c r="Y88" s="13" t="s">
        <v>3053</v>
      </c>
      <c r="Z88" s="14"/>
    </row>
    <row r="89" customFormat="false" ht="45.75" hidden="false" customHeight="true" outlineLevel="0" collapsed="false">
      <c r="A89" s="9" t="s">
        <v>3054</v>
      </c>
      <c r="B89" s="9" t="s">
        <v>157</v>
      </c>
      <c r="C89" s="9" t="s">
        <v>1694</v>
      </c>
      <c r="D89" s="9" t="s">
        <v>3055</v>
      </c>
      <c r="E89" s="9" t="s">
        <v>1138</v>
      </c>
      <c r="F89" s="9" t="s">
        <v>2002</v>
      </c>
      <c r="G89" s="11" t="n">
        <v>25</v>
      </c>
      <c r="H89" s="9" t="s">
        <v>73</v>
      </c>
      <c r="I89" s="9" t="s">
        <v>2026</v>
      </c>
      <c r="J89" s="9" t="s">
        <v>1977</v>
      </c>
      <c r="K89" s="9"/>
      <c r="L89" s="13" t="n">
        <v>1</v>
      </c>
      <c r="M89" s="13" t="s">
        <v>3056</v>
      </c>
      <c r="N89" s="13" t="s">
        <v>3057</v>
      </c>
      <c r="O89" s="13" t="s">
        <v>3058</v>
      </c>
      <c r="P89" s="13" t="s">
        <v>3059</v>
      </c>
      <c r="Q89" s="13" t="s">
        <v>3060</v>
      </c>
      <c r="R89" s="13" t="s">
        <v>2019</v>
      </c>
      <c r="S89" s="13" t="s">
        <v>3061</v>
      </c>
      <c r="T89" s="13" t="s">
        <v>3062</v>
      </c>
      <c r="U89" s="13" t="s">
        <v>3063</v>
      </c>
      <c r="V89" s="13" t="s">
        <v>2023</v>
      </c>
      <c r="W89" s="13" t="s">
        <v>2983</v>
      </c>
      <c r="X89" s="13" t="s">
        <v>3064</v>
      </c>
      <c r="Y89" s="13" t="s">
        <v>3065</v>
      </c>
      <c r="Z89" s="14"/>
    </row>
    <row r="90" customFormat="false" ht="34.5" hidden="false" customHeight="true" outlineLevel="0" collapsed="false">
      <c r="A90" s="9" t="s">
        <v>3066</v>
      </c>
      <c r="B90" s="9" t="s">
        <v>157</v>
      </c>
      <c r="C90" s="9" t="s">
        <v>1694</v>
      </c>
      <c r="D90" s="9" t="s">
        <v>3067</v>
      </c>
      <c r="E90" s="9" t="s">
        <v>1140</v>
      </c>
      <c r="F90" s="9" t="s">
        <v>2002</v>
      </c>
      <c r="G90" s="11" t="n">
        <v>10</v>
      </c>
      <c r="H90" s="9" t="s">
        <v>73</v>
      </c>
      <c r="I90" s="9" t="s">
        <v>2026</v>
      </c>
      <c r="J90" s="9" t="s">
        <v>1977</v>
      </c>
      <c r="K90" s="9"/>
      <c r="L90" s="13" t="n">
        <v>1</v>
      </c>
      <c r="M90" s="13" t="s">
        <v>3056</v>
      </c>
      <c r="N90" s="13" t="s">
        <v>3068</v>
      </c>
      <c r="O90" s="13" t="s">
        <v>3069</v>
      </c>
      <c r="P90" s="13" t="s">
        <v>3070</v>
      </c>
      <c r="Q90" s="13" t="s">
        <v>3071</v>
      </c>
      <c r="R90" s="13" t="s">
        <v>3072</v>
      </c>
      <c r="S90" s="13" t="s">
        <v>3073</v>
      </c>
      <c r="T90" s="13" t="s">
        <v>3074</v>
      </c>
      <c r="U90" s="13" t="s">
        <v>3075</v>
      </c>
      <c r="V90" s="13" t="s">
        <v>2128</v>
      </c>
      <c r="W90" s="13"/>
      <c r="X90" s="13"/>
      <c r="Y90" s="13"/>
      <c r="Z90" s="14"/>
    </row>
    <row r="91" customFormat="false" ht="68.25" hidden="false" customHeight="true" outlineLevel="0" collapsed="false">
      <c r="A91" s="9" t="s">
        <v>3076</v>
      </c>
      <c r="B91" s="9" t="s">
        <v>157</v>
      </c>
      <c r="C91" s="9" t="s">
        <v>1694</v>
      </c>
      <c r="D91" s="9" t="s">
        <v>3077</v>
      </c>
      <c r="E91" s="9" t="s">
        <v>1140</v>
      </c>
      <c r="F91" s="9" t="s">
        <v>2002</v>
      </c>
      <c r="G91" s="11" t="n">
        <v>10</v>
      </c>
      <c r="H91" s="9" t="s">
        <v>73</v>
      </c>
      <c r="I91" s="9" t="s">
        <v>417</v>
      </c>
      <c r="J91" s="9" t="s">
        <v>2842</v>
      </c>
      <c r="K91" s="9" t="s">
        <v>3078</v>
      </c>
      <c r="L91" s="13" t="n">
        <v>2</v>
      </c>
      <c r="M91" s="13" t="s">
        <v>3079</v>
      </c>
      <c r="N91" s="13" t="s">
        <v>3080</v>
      </c>
      <c r="O91" s="13" t="s">
        <v>3081</v>
      </c>
      <c r="P91" s="13" t="s">
        <v>3082</v>
      </c>
      <c r="Q91" s="13" t="s">
        <v>3083</v>
      </c>
      <c r="R91" s="13" t="s">
        <v>3084</v>
      </c>
      <c r="S91" s="13" t="s">
        <v>3085</v>
      </c>
      <c r="T91" s="13" t="s">
        <v>3086</v>
      </c>
      <c r="U91" s="13" t="s">
        <v>3087</v>
      </c>
      <c r="V91" s="13" t="s">
        <v>2128</v>
      </c>
      <c r="W91" s="13" t="s">
        <v>3088</v>
      </c>
      <c r="X91" s="13"/>
      <c r="Y91" s="13"/>
      <c r="Z91" s="14"/>
    </row>
    <row r="92" customFormat="false" ht="34.5" hidden="false" customHeight="true" outlineLevel="0" collapsed="false">
      <c r="A92" s="9" t="s">
        <v>3089</v>
      </c>
      <c r="B92" s="9" t="s">
        <v>157</v>
      </c>
      <c r="C92" s="9" t="s">
        <v>1694</v>
      </c>
      <c r="D92" s="9" t="s">
        <v>3090</v>
      </c>
      <c r="E92" s="9" t="s">
        <v>1137</v>
      </c>
      <c r="F92" s="9" t="s">
        <v>1976</v>
      </c>
      <c r="G92" s="11" t="n">
        <v>60</v>
      </c>
      <c r="H92" s="9" t="s">
        <v>73</v>
      </c>
      <c r="I92" s="9" t="s">
        <v>417</v>
      </c>
      <c r="J92" s="9" t="s">
        <v>1977</v>
      </c>
      <c r="K92" s="9"/>
      <c r="L92" s="13" t="n">
        <v>2</v>
      </c>
      <c r="M92" s="13" t="s">
        <v>3091</v>
      </c>
      <c r="N92" s="13" t="s">
        <v>3092</v>
      </c>
      <c r="O92" s="13" t="s">
        <v>3093</v>
      </c>
      <c r="P92" s="13" t="s">
        <v>3094</v>
      </c>
      <c r="Q92" s="13" t="s">
        <v>3095</v>
      </c>
      <c r="R92" s="13" t="s">
        <v>3096</v>
      </c>
      <c r="S92" s="13" t="s">
        <v>3097</v>
      </c>
      <c r="T92" s="13" t="s">
        <v>2087</v>
      </c>
      <c r="U92" s="13" t="s">
        <v>3098</v>
      </c>
      <c r="V92" s="13" t="s">
        <v>3099</v>
      </c>
      <c r="W92" s="13" t="s">
        <v>3076</v>
      </c>
      <c r="X92" s="13" t="s">
        <v>3100</v>
      </c>
      <c r="Y92" s="13" t="s">
        <v>3101</v>
      </c>
      <c r="Z92" s="14"/>
    </row>
    <row r="93" customFormat="false" ht="45.75" hidden="false" customHeight="true" outlineLevel="0" collapsed="false">
      <c r="A93" s="9" t="s">
        <v>3102</v>
      </c>
      <c r="B93" s="9" t="s">
        <v>157</v>
      </c>
      <c r="C93" s="9" t="s">
        <v>1694</v>
      </c>
      <c r="D93" s="9" t="s">
        <v>3103</v>
      </c>
      <c r="E93" s="9" t="s">
        <v>1136</v>
      </c>
      <c r="F93" s="9" t="s">
        <v>2312</v>
      </c>
      <c r="G93" s="11" t="n">
        <v>250</v>
      </c>
      <c r="H93" s="9" t="s">
        <v>73</v>
      </c>
      <c r="I93" s="9" t="s">
        <v>417</v>
      </c>
      <c r="J93" s="9" t="s">
        <v>1977</v>
      </c>
      <c r="K93" s="9"/>
      <c r="L93" s="13" t="n">
        <v>3</v>
      </c>
      <c r="M93" s="13" t="s">
        <v>3104</v>
      </c>
      <c r="N93" s="13" t="s">
        <v>3105</v>
      </c>
      <c r="O93" s="13" t="s">
        <v>3106</v>
      </c>
      <c r="P93" s="13" t="s">
        <v>3107</v>
      </c>
      <c r="Q93" s="13" t="s">
        <v>3108</v>
      </c>
      <c r="R93" s="13" t="s">
        <v>2097</v>
      </c>
      <c r="S93" s="13" t="s">
        <v>3109</v>
      </c>
      <c r="T93" s="13" t="s">
        <v>3110</v>
      </c>
      <c r="U93" s="13" t="s">
        <v>3111</v>
      </c>
      <c r="V93" s="13" t="s">
        <v>3112</v>
      </c>
      <c r="W93" s="13" t="s">
        <v>3089</v>
      </c>
      <c r="X93" s="13"/>
      <c r="Y93" s="13"/>
      <c r="Z93" s="14"/>
    </row>
    <row r="94" customFormat="false" ht="45.75" hidden="false" customHeight="true" outlineLevel="0" collapsed="false">
      <c r="A94" s="9" t="s">
        <v>3113</v>
      </c>
      <c r="B94" s="9" t="s">
        <v>157</v>
      </c>
      <c r="C94" s="9" t="s">
        <v>1694</v>
      </c>
      <c r="D94" s="9" t="s">
        <v>3114</v>
      </c>
      <c r="E94" s="9" t="s">
        <v>1138</v>
      </c>
      <c r="F94" s="9" t="s">
        <v>1976</v>
      </c>
      <c r="G94" s="11" t="n">
        <v>60</v>
      </c>
      <c r="H94" s="9" t="s">
        <v>73</v>
      </c>
      <c r="I94" s="9" t="s">
        <v>417</v>
      </c>
      <c r="J94" s="9" t="s">
        <v>2842</v>
      </c>
      <c r="K94" s="9" t="s">
        <v>3115</v>
      </c>
      <c r="L94" s="13" t="n">
        <v>4</v>
      </c>
      <c r="M94" s="13" t="s">
        <v>3116</v>
      </c>
      <c r="N94" s="13" t="s">
        <v>3117</v>
      </c>
      <c r="O94" s="13" t="s">
        <v>3118</v>
      </c>
      <c r="P94" s="13" t="s">
        <v>3119</v>
      </c>
      <c r="Q94" s="13" t="s">
        <v>3120</v>
      </c>
      <c r="R94" s="13" t="s">
        <v>3121</v>
      </c>
      <c r="S94" s="13" t="s">
        <v>3122</v>
      </c>
      <c r="T94" s="13" t="s">
        <v>3123</v>
      </c>
      <c r="U94" s="13" t="s">
        <v>641</v>
      </c>
      <c r="V94" s="13" t="s">
        <v>3124</v>
      </c>
      <c r="W94" s="13" t="s">
        <v>3102</v>
      </c>
      <c r="X94" s="13"/>
      <c r="Y94" s="13"/>
      <c r="Z94" s="14"/>
    </row>
    <row r="95" customFormat="false" ht="34.5" hidden="false" customHeight="true" outlineLevel="0" collapsed="false">
      <c r="A95" s="9" t="s">
        <v>3125</v>
      </c>
      <c r="B95" s="9" t="s">
        <v>157</v>
      </c>
      <c r="C95" s="9" t="s">
        <v>1694</v>
      </c>
      <c r="D95" s="9" t="s">
        <v>3126</v>
      </c>
      <c r="E95" s="9" t="s">
        <v>1133</v>
      </c>
      <c r="F95" s="9" t="s">
        <v>1976</v>
      </c>
      <c r="G95" s="11" t="n">
        <v>80</v>
      </c>
      <c r="H95" s="9" t="s">
        <v>73</v>
      </c>
      <c r="I95" s="9" t="s">
        <v>417</v>
      </c>
      <c r="J95" s="9" t="s">
        <v>1977</v>
      </c>
      <c r="K95" s="9"/>
      <c r="L95" s="13" t="n">
        <v>4</v>
      </c>
      <c r="M95" s="13" t="s">
        <v>3127</v>
      </c>
      <c r="N95" s="13" t="s">
        <v>3128</v>
      </c>
      <c r="O95" s="13" t="s">
        <v>3129</v>
      </c>
      <c r="P95" s="13" t="s">
        <v>3130</v>
      </c>
      <c r="Q95" s="13" t="s">
        <v>3131</v>
      </c>
      <c r="R95" s="13" t="s">
        <v>3132</v>
      </c>
      <c r="S95" s="13" t="s">
        <v>3061</v>
      </c>
      <c r="T95" s="13" t="s">
        <v>3133</v>
      </c>
      <c r="U95" s="13" t="s">
        <v>3134</v>
      </c>
      <c r="V95" s="13" t="s">
        <v>3135</v>
      </c>
      <c r="W95" s="13" t="s">
        <v>3136</v>
      </c>
      <c r="X95" s="13"/>
      <c r="Y95" s="13"/>
      <c r="Z95" s="14"/>
    </row>
    <row r="96" customFormat="false" ht="45.75" hidden="false" customHeight="true" outlineLevel="0" collapsed="false">
      <c r="A96" s="9" t="s">
        <v>3137</v>
      </c>
      <c r="B96" s="9" t="s">
        <v>174</v>
      </c>
      <c r="C96" s="9" t="s">
        <v>1705</v>
      </c>
      <c r="D96" s="9" t="s">
        <v>3138</v>
      </c>
      <c r="E96" s="9" t="s">
        <v>1134</v>
      </c>
      <c r="F96" s="9" t="s">
        <v>1976</v>
      </c>
      <c r="G96" s="11" t="n">
        <v>80</v>
      </c>
      <c r="H96" s="9" t="s">
        <v>73</v>
      </c>
      <c r="I96" s="9" t="s">
        <v>379</v>
      </c>
      <c r="J96" s="9" t="s">
        <v>1977</v>
      </c>
      <c r="K96" s="9"/>
      <c r="L96" s="13" t="n">
        <v>1</v>
      </c>
      <c r="M96" s="13" t="s">
        <v>3139</v>
      </c>
      <c r="N96" s="13" t="s">
        <v>3140</v>
      </c>
      <c r="O96" s="13" t="s">
        <v>3141</v>
      </c>
      <c r="P96" s="13" t="s">
        <v>3142</v>
      </c>
      <c r="Q96" s="13" t="s">
        <v>3143</v>
      </c>
      <c r="R96" s="13" t="s">
        <v>3144</v>
      </c>
      <c r="S96" s="13" t="s">
        <v>3145</v>
      </c>
      <c r="T96" s="13" t="s">
        <v>3146</v>
      </c>
      <c r="U96" s="13" t="s">
        <v>3147</v>
      </c>
      <c r="V96" s="13" t="s">
        <v>3148</v>
      </c>
      <c r="W96" s="13"/>
      <c r="X96" s="13"/>
      <c r="Y96" s="13"/>
      <c r="Z96" s="14"/>
    </row>
    <row r="97" customFormat="false" ht="45.75" hidden="false" customHeight="true" outlineLevel="0" collapsed="false">
      <c r="A97" s="9" t="s">
        <v>3149</v>
      </c>
      <c r="B97" s="9" t="s">
        <v>174</v>
      </c>
      <c r="C97" s="9" t="s">
        <v>1705</v>
      </c>
      <c r="D97" s="9" t="s">
        <v>3150</v>
      </c>
      <c r="E97" s="9" t="s">
        <v>1137</v>
      </c>
      <c r="F97" s="9" t="s">
        <v>1976</v>
      </c>
      <c r="G97" s="11" t="n">
        <v>60</v>
      </c>
      <c r="H97" s="9" t="s">
        <v>73</v>
      </c>
      <c r="I97" s="9" t="s">
        <v>379</v>
      </c>
      <c r="J97" s="9" t="s">
        <v>1977</v>
      </c>
      <c r="K97" s="9"/>
      <c r="L97" s="13" t="n">
        <v>1</v>
      </c>
      <c r="M97" s="13" t="s">
        <v>3151</v>
      </c>
      <c r="N97" s="13" t="s">
        <v>3152</v>
      </c>
      <c r="O97" s="13" t="s">
        <v>3153</v>
      </c>
      <c r="P97" s="13" t="s">
        <v>3154</v>
      </c>
      <c r="Q97" s="13" t="s">
        <v>3155</v>
      </c>
      <c r="R97" s="13" t="s">
        <v>2172</v>
      </c>
      <c r="S97" s="13" t="s">
        <v>3156</v>
      </c>
      <c r="T97" s="13" t="s">
        <v>3157</v>
      </c>
      <c r="U97" s="13" t="s">
        <v>3158</v>
      </c>
      <c r="V97" s="13" t="s">
        <v>3159</v>
      </c>
      <c r="W97" s="13" t="s">
        <v>3137</v>
      </c>
      <c r="X97" s="13"/>
      <c r="Y97" s="13"/>
      <c r="Z97" s="14"/>
    </row>
    <row r="98" customFormat="false" ht="45.75" hidden="false" customHeight="true" outlineLevel="0" collapsed="false">
      <c r="A98" s="9" t="s">
        <v>3160</v>
      </c>
      <c r="B98" s="9" t="s">
        <v>174</v>
      </c>
      <c r="C98" s="9" t="s">
        <v>1705</v>
      </c>
      <c r="D98" s="9" t="s">
        <v>3161</v>
      </c>
      <c r="E98" s="9" t="s">
        <v>1136</v>
      </c>
      <c r="F98" s="9" t="s">
        <v>2312</v>
      </c>
      <c r="G98" s="11" t="n">
        <v>300</v>
      </c>
      <c r="H98" s="9" t="s">
        <v>73</v>
      </c>
      <c r="I98" s="9" t="s">
        <v>379</v>
      </c>
      <c r="J98" s="9" t="s">
        <v>1977</v>
      </c>
      <c r="K98" s="9"/>
      <c r="L98" s="13" t="n">
        <v>2</v>
      </c>
      <c r="M98" s="13" t="s">
        <v>3162</v>
      </c>
      <c r="N98" s="13" t="s">
        <v>3163</v>
      </c>
      <c r="O98" s="13" t="s">
        <v>3164</v>
      </c>
      <c r="P98" s="13" t="s">
        <v>3165</v>
      </c>
      <c r="Q98" s="13" t="s">
        <v>3166</v>
      </c>
      <c r="R98" s="13" t="s">
        <v>3167</v>
      </c>
      <c r="S98" s="13" t="s">
        <v>3168</v>
      </c>
      <c r="T98" s="13" t="s">
        <v>2358</v>
      </c>
      <c r="U98" s="13" t="s">
        <v>3169</v>
      </c>
      <c r="V98" s="13" t="s">
        <v>3170</v>
      </c>
      <c r="W98" s="13" t="s">
        <v>3149</v>
      </c>
      <c r="X98" s="13" t="s">
        <v>3171</v>
      </c>
      <c r="Y98" s="13" t="s">
        <v>3172</v>
      </c>
      <c r="Z98" s="14"/>
    </row>
    <row r="99" customFormat="false" ht="45.75" hidden="false" customHeight="true" outlineLevel="0" collapsed="false">
      <c r="A99" s="9" t="s">
        <v>3173</v>
      </c>
      <c r="B99" s="9" t="s">
        <v>174</v>
      </c>
      <c r="C99" s="9" t="s">
        <v>1705</v>
      </c>
      <c r="D99" s="9" t="s">
        <v>3174</v>
      </c>
      <c r="E99" s="9" t="s">
        <v>1135</v>
      </c>
      <c r="F99" s="9" t="s">
        <v>1976</v>
      </c>
      <c r="G99" s="11" t="n">
        <v>60</v>
      </c>
      <c r="H99" s="9" t="s">
        <v>73</v>
      </c>
      <c r="I99" s="9" t="s">
        <v>379</v>
      </c>
      <c r="J99" s="9" t="s">
        <v>1977</v>
      </c>
      <c r="K99" s="9"/>
      <c r="L99" s="13" t="n">
        <v>2</v>
      </c>
      <c r="M99" s="13" t="s">
        <v>3175</v>
      </c>
      <c r="N99" s="13" t="s">
        <v>3176</v>
      </c>
      <c r="O99" s="13" t="s">
        <v>3177</v>
      </c>
      <c r="P99" s="13" t="s">
        <v>3178</v>
      </c>
      <c r="Q99" s="13" t="s">
        <v>3179</v>
      </c>
      <c r="R99" s="13" t="s">
        <v>3180</v>
      </c>
      <c r="S99" s="13" t="s">
        <v>3181</v>
      </c>
      <c r="T99" s="13" t="s">
        <v>3182</v>
      </c>
      <c r="U99" s="13" t="s">
        <v>3183</v>
      </c>
      <c r="V99" s="13" t="s">
        <v>3184</v>
      </c>
      <c r="W99" s="13" t="s">
        <v>3149</v>
      </c>
      <c r="X99" s="13"/>
      <c r="Y99" s="13"/>
      <c r="Z99" s="14"/>
    </row>
    <row r="100" customFormat="false" ht="45.75" hidden="false" customHeight="true" outlineLevel="0" collapsed="false">
      <c r="A100" s="9" t="s">
        <v>3185</v>
      </c>
      <c r="B100" s="9" t="s">
        <v>174</v>
      </c>
      <c r="C100" s="9" t="s">
        <v>1705</v>
      </c>
      <c r="D100" s="9" t="s">
        <v>3186</v>
      </c>
      <c r="E100" s="9" t="s">
        <v>1133</v>
      </c>
      <c r="F100" s="9" t="s">
        <v>2312</v>
      </c>
      <c r="G100" s="11" t="n">
        <v>250</v>
      </c>
      <c r="H100" s="9" t="s">
        <v>73</v>
      </c>
      <c r="I100" s="9" t="s">
        <v>379</v>
      </c>
      <c r="J100" s="9" t="s">
        <v>2842</v>
      </c>
      <c r="K100" s="9" t="s">
        <v>3187</v>
      </c>
      <c r="L100" s="13" t="n">
        <v>3</v>
      </c>
      <c r="M100" s="13" t="s">
        <v>3188</v>
      </c>
      <c r="N100" s="13" t="s">
        <v>3189</v>
      </c>
      <c r="O100" s="13" t="s">
        <v>3190</v>
      </c>
      <c r="P100" s="13" t="s">
        <v>3191</v>
      </c>
      <c r="Q100" s="13" t="s">
        <v>3192</v>
      </c>
      <c r="R100" s="13" t="s">
        <v>3193</v>
      </c>
      <c r="S100" s="13" t="s">
        <v>3194</v>
      </c>
      <c r="T100" s="13" t="s">
        <v>3195</v>
      </c>
      <c r="U100" s="13" t="s">
        <v>3196</v>
      </c>
      <c r="V100" s="13" t="s">
        <v>3197</v>
      </c>
      <c r="W100" s="13" t="s">
        <v>3198</v>
      </c>
      <c r="X100" s="13" t="s">
        <v>3199</v>
      </c>
      <c r="Y100" s="13" t="s">
        <v>3200</v>
      </c>
      <c r="Z100" s="14"/>
    </row>
    <row r="101" customFormat="false" ht="45.75" hidden="false" customHeight="true" outlineLevel="0" collapsed="false">
      <c r="A101" s="9" t="s">
        <v>3201</v>
      </c>
      <c r="B101" s="9" t="s">
        <v>174</v>
      </c>
      <c r="C101" s="9" t="s">
        <v>1705</v>
      </c>
      <c r="D101" s="9" t="s">
        <v>3202</v>
      </c>
      <c r="E101" s="9" t="s">
        <v>1136</v>
      </c>
      <c r="F101" s="9" t="s">
        <v>1976</v>
      </c>
      <c r="G101" s="11" t="n">
        <v>80</v>
      </c>
      <c r="H101" s="9" t="s">
        <v>73</v>
      </c>
      <c r="I101" s="9" t="s">
        <v>379</v>
      </c>
      <c r="J101" s="9" t="s">
        <v>1977</v>
      </c>
      <c r="K101" s="9"/>
      <c r="L101" s="13" t="n">
        <v>4</v>
      </c>
      <c r="M101" s="13" t="s">
        <v>3203</v>
      </c>
      <c r="N101" s="13" t="s">
        <v>3204</v>
      </c>
      <c r="O101" s="13" t="s">
        <v>3205</v>
      </c>
      <c r="P101" s="13" t="s">
        <v>3206</v>
      </c>
      <c r="Q101" s="13" t="s">
        <v>3207</v>
      </c>
      <c r="R101" s="13" t="s">
        <v>3208</v>
      </c>
      <c r="S101" s="13" t="s">
        <v>3209</v>
      </c>
      <c r="T101" s="13" t="s">
        <v>3210</v>
      </c>
      <c r="U101" s="13" t="s">
        <v>3211</v>
      </c>
      <c r="V101" s="13" t="s">
        <v>2011</v>
      </c>
      <c r="W101" s="13" t="s">
        <v>3185</v>
      </c>
      <c r="X101" s="13"/>
      <c r="Y101" s="13"/>
      <c r="Z101" s="14"/>
    </row>
    <row r="102" customFormat="false" ht="34.5" hidden="false" customHeight="true" outlineLevel="0" collapsed="false">
      <c r="A102" s="9" t="s">
        <v>3212</v>
      </c>
      <c r="B102" s="9" t="s">
        <v>174</v>
      </c>
      <c r="C102" s="9" t="s">
        <v>1705</v>
      </c>
      <c r="D102" s="9" t="s">
        <v>3213</v>
      </c>
      <c r="E102" s="9" t="s">
        <v>1135</v>
      </c>
      <c r="F102" s="9" t="s">
        <v>2002</v>
      </c>
      <c r="G102" s="11" t="n">
        <v>30</v>
      </c>
      <c r="H102" s="9" t="s">
        <v>73</v>
      </c>
      <c r="I102" s="9" t="s">
        <v>2026</v>
      </c>
      <c r="J102" s="9" t="s">
        <v>1977</v>
      </c>
      <c r="K102" s="9"/>
      <c r="L102" s="13" t="n">
        <v>4</v>
      </c>
      <c r="M102" s="13" t="s">
        <v>3214</v>
      </c>
      <c r="N102" s="13" t="s">
        <v>3215</v>
      </c>
      <c r="O102" s="13" t="s">
        <v>3216</v>
      </c>
      <c r="P102" s="13" t="s">
        <v>3217</v>
      </c>
      <c r="Q102" s="13" t="s">
        <v>3218</v>
      </c>
      <c r="R102" s="13" t="s">
        <v>1555</v>
      </c>
      <c r="S102" s="13" t="s">
        <v>3219</v>
      </c>
      <c r="T102" s="13" t="s">
        <v>3220</v>
      </c>
      <c r="U102" s="13" t="s">
        <v>3221</v>
      </c>
      <c r="V102" s="13" t="s">
        <v>3222</v>
      </c>
      <c r="W102" s="13" t="s">
        <v>3137</v>
      </c>
      <c r="X102" s="13"/>
      <c r="Y102" s="13"/>
      <c r="Z102" s="14"/>
    </row>
    <row r="103" customFormat="false" ht="45.75" hidden="false" customHeight="true" outlineLevel="0" collapsed="false">
      <c r="A103" s="9" t="s">
        <v>3223</v>
      </c>
      <c r="B103" s="9" t="s">
        <v>174</v>
      </c>
      <c r="C103" s="9" t="s">
        <v>1705</v>
      </c>
      <c r="D103" s="9" t="s">
        <v>3224</v>
      </c>
      <c r="E103" s="9" t="s">
        <v>1134</v>
      </c>
      <c r="F103" s="9" t="s">
        <v>2002</v>
      </c>
      <c r="G103" s="11" t="n">
        <v>30</v>
      </c>
      <c r="H103" s="9" t="s">
        <v>73</v>
      </c>
      <c r="I103" s="9" t="s">
        <v>2026</v>
      </c>
      <c r="J103" s="9" t="s">
        <v>1977</v>
      </c>
      <c r="K103" s="9"/>
      <c r="L103" s="13" t="n">
        <v>4</v>
      </c>
      <c r="M103" s="13" t="s">
        <v>3225</v>
      </c>
      <c r="N103" s="13" t="s">
        <v>3226</v>
      </c>
      <c r="O103" s="13" t="s">
        <v>3227</v>
      </c>
      <c r="P103" s="13" t="s">
        <v>3228</v>
      </c>
      <c r="Q103" s="13" t="s">
        <v>3229</v>
      </c>
      <c r="R103" s="13" t="s">
        <v>1133</v>
      </c>
      <c r="S103" s="13" t="s">
        <v>3230</v>
      </c>
      <c r="T103" s="13" t="s">
        <v>3231</v>
      </c>
      <c r="U103" s="13" t="s">
        <v>3232</v>
      </c>
      <c r="V103" s="13" t="s">
        <v>3233</v>
      </c>
      <c r="W103" s="13" t="s">
        <v>3212</v>
      </c>
      <c r="X103" s="13" t="s">
        <v>3234</v>
      </c>
      <c r="Y103" s="13" t="s">
        <v>3235</v>
      </c>
      <c r="Z103" s="14"/>
    </row>
    <row r="104" customFormat="false" ht="45.75" hidden="false" customHeight="true" outlineLevel="0" collapsed="false">
      <c r="A104" s="9" t="s">
        <v>3236</v>
      </c>
      <c r="B104" s="9" t="s">
        <v>174</v>
      </c>
      <c r="C104" s="9" t="s">
        <v>1705</v>
      </c>
      <c r="D104" s="9" t="s">
        <v>3237</v>
      </c>
      <c r="E104" s="9" t="s">
        <v>1140</v>
      </c>
      <c r="F104" s="9" t="s">
        <v>1976</v>
      </c>
      <c r="G104" s="11" t="n">
        <v>40</v>
      </c>
      <c r="H104" s="9" t="s">
        <v>73</v>
      </c>
      <c r="I104" s="9" t="s">
        <v>2026</v>
      </c>
      <c r="J104" s="9" t="s">
        <v>2842</v>
      </c>
      <c r="K104" s="9" t="s">
        <v>3238</v>
      </c>
      <c r="L104" s="13" t="n">
        <v>4</v>
      </c>
      <c r="M104" s="13" t="s">
        <v>3239</v>
      </c>
      <c r="N104" s="13" t="s">
        <v>3240</v>
      </c>
      <c r="O104" s="13" t="s">
        <v>3241</v>
      </c>
      <c r="P104" s="13" t="s">
        <v>3242</v>
      </c>
      <c r="Q104" s="13" t="s">
        <v>3243</v>
      </c>
      <c r="R104" s="13" t="s">
        <v>3244</v>
      </c>
      <c r="S104" s="13" t="s">
        <v>3245</v>
      </c>
      <c r="T104" s="13" t="s">
        <v>3246</v>
      </c>
      <c r="U104" s="13" t="s">
        <v>3247</v>
      </c>
      <c r="V104" s="13" t="s">
        <v>2128</v>
      </c>
      <c r="W104" s="13" t="s">
        <v>3223</v>
      </c>
      <c r="X104" s="13"/>
      <c r="Y104" s="13"/>
      <c r="Z104" s="14"/>
    </row>
    <row r="105" customFormat="false" ht="45.75" hidden="false" customHeight="true" outlineLevel="0" collapsed="false">
      <c r="A105" s="9" t="s">
        <v>3248</v>
      </c>
      <c r="B105" s="9" t="s">
        <v>174</v>
      </c>
      <c r="C105" s="9" t="s">
        <v>1705</v>
      </c>
      <c r="D105" s="9" t="s">
        <v>3249</v>
      </c>
      <c r="E105" s="9" t="s">
        <v>1137</v>
      </c>
      <c r="F105" s="9" t="s">
        <v>1976</v>
      </c>
      <c r="G105" s="11" t="n">
        <v>60</v>
      </c>
      <c r="H105" s="9" t="s">
        <v>73</v>
      </c>
      <c r="I105" s="9" t="s">
        <v>2026</v>
      </c>
      <c r="J105" s="9" t="s">
        <v>1977</v>
      </c>
      <c r="K105" s="9"/>
      <c r="L105" s="13" t="n">
        <v>4</v>
      </c>
      <c r="M105" s="13" t="s">
        <v>3250</v>
      </c>
      <c r="N105" s="13" t="s">
        <v>3251</v>
      </c>
      <c r="O105" s="13" t="s">
        <v>3252</v>
      </c>
      <c r="P105" s="13" t="s">
        <v>3253</v>
      </c>
      <c r="Q105" s="13" t="s">
        <v>3254</v>
      </c>
      <c r="R105" s="13" t="s">
        <v>3255</v>
      </c>
      <c r="S105" s="13" t="s">
        <v>3256</v>
      </c>
      <c r="T105" s="13" t="s">
        <v>3257</v>
      </c>
      <c r="U105" s="13" t="s">
        <v>3258</v>
      </c>
      <c r="V105" s="13" t="s">
        <v>3259</v>
      </c>
      <c r="W105" s="13" t="s">
        <v>3201</v>
      </c>
      <c r="X105" s="13" t="s">
        <v>3260</v>
      </c>
      <c r="Y105" s="13" t="s">
        <v>3261</v>
      </c>
      <c r="Z105" s="14"/>
    </row>
    <row r="106" customFormat="false" ht="45.75" hidden="false" customHeight="true" outlineLevel="0" collapsed="false">
      <c r="A106" s="9" t="s">
        <v>3262</v>
      </c>
      <c r="B106" s="9" t="s">
        <v>174</v>
      </c>
      <c r="C106" s="9" t="s">
        <v>1705</v>
      </c>
      <c r="D106" s="9" t="s">
        <v>3263</v>
      </c>
      <c r="E106" s="9" t="s">
        <v>1136</v>
      </c>
      <c r="F106" s="9" t="s">
        <v>1976</v>
      </c>
      <c r="G106" s="11" t="n">
        <v>80</v>
      </c>
      <c r="H106" s="9" t="s">
        <v>73</v>
      </c>
      <c r="I106" s="9" t="s">
        <v>2026</v>
      </c>
      <c r="J106" s="9" t="s">
        <v>1977</v>
      </c>
      <c r="K106" s="9"/>
      <c r="L106" s="13" t="n">
        <v>4</v>
      </c>
      <c r="M106" s="13" t="s">
        <v>3264</v>
      </c>
      <c r="N106" s="13" t="s">
        <v>3265</v>
      </c>
      <c r="O106" s="13" t="s">
        <v>3266</v>
      </c>
      <c r="P106" s="13" t="s">
        <v>3267</v>
      </c>
      <c r="Q106" s="13" t="s">
        <v>3268</v>
      </c>
      <c r="R106" s="13" t="s">
        <v>1555</v>
      </c>
      <c r="S106" s="13" t="s">
        <v>3269</v>
      </c>
      <c r="T106" s="13" t="s">
        <v>3270</v>
      </c>
      <c r="U106" s="13" t="s">
        <v>3271</v>
      </c>
      <c r="V106" s="13" t="s">
        <v>3272</v>
      </c>
      <c r="W106" s="13" t="s">
        <v>3248</v>
      </c>
      <c r="X106" s="13"/>
      <c r="Y106" s="13"/>
      <c r="Z106" s="14"/>
    </row>
    <row r="107" customFormat="false" ht="34.5" hidden="false" customHeight="true" outlineLevel="0" collapsed="false">
      <c r="A107" s="9" t="s">
        <v>3273</v>
      </c>
      <c r="B107" s="9" t="s">
        <v>174</v>
      </c>
      <c r="C107" s="9" t="s">
        <v>1705</v>
      </c>
      <c r="D107" s="9" t="s">
        <v>3274</v>
      </c>
      <c r="E107" s="9" t="s">
        <v>1133</v>
      </c>
      <c r="F107" s="9" t="s">
        <v>2002</v>
      </c>
      <c r="G107" s="11" t="n">
        <v>30</v>
      </c>
      <c r="H107" s="9" t="s">
        <v>73</v>
      </c>
      <c r="I107" s="9" t="s">
        <v>2026</v>
      </c>
      <c r="J107" s="9" t="s">
        <v>1977</v>
      </c>
      <c r="K107" s="9"/>
      <c r="L107" s="13" t="n">
        <v>4</v>
      </c>
      <c r="M107" s="13" t="s">
        <v>3275</v>
      </c>
      <c r="N107" s="13" t="s">
        <v>3276</v>
      </c>
      <c r="O107" s="13" t="s">
        <v>3277</v>
      </c>
      <c r="P107" s="13" t="s">
        <v>3278</v>
      </c>
      <c r="Q107" s="13" t="s">
        <v>3279</v>
      </c>
      <c r="R107" s="13" t="s">
        <v>2097</v>
      </c>
      <c r="S107" s="13" t="s">
        <v>2098</v>
      </c>
      <c r="T107" s="13" t="s">
        <v>3280</v>
      </c>
      <c r="U107" s="13" t="s">
        <v>3281</v>
      </c>
      <c r="V107" s="13" t="s">
        <v>2101</v>
      </c>
      <c r="W107" s="13" t="s">
        <v>3248</v>
      </c>
      <c r="X107" s="13" t="s">
        <v>3282</v>
      </c>
      <c r="Y107" s="13" t="s">
        <v>3283</v>
      </c>
      <c r="Z107" s="14"/>
    </row>
    <row r="108" customFormat="false" ht="45.75" hidden="false" customHeight="true" outlineLevel="0" collapsed="false">
      <c r="A108" s="9" t="s">
        <v>3284</v>
      </c>
      <c r="B108" s="9" t="s">
        <v>174</v>
      </c>
      <c r="C108" s="9" t="s">
        <v>1705</v>
      </c>
      <c r="D108" s="9" t="s">
        <v>3285</v>
      </c>
      <c r="E108" s="9" t="s">
        <v>1138</v>
      </c>
      <c r="F108" s="9" t="s">
        <v>2002</v>
      </c>
      <c r="G108" s="11" t="n">
        <v>25</v>
      </c>
      <c r="H108" s="9" t="s">
        <v>73</v>
      </c>
      <c r="I108" s="9" t="s">
        <v>2026</v>
      </c>
      <c r="J108" s="9" t="s">
        <v>1977</v>
      </c>
      <c r="K108" s="9"/>
      <c r="L108" s="13" t="n">
        <v>4</v>
      </c>
      <c r="M108" s="13" t="s">
        <v>3286</v>
      </c>
      <c r="N108" s="13" t="s">
        <v>3287</v>
      </c>
      <c r="O108" s="13" t="s">
        <v>3288</v>
      </c>
      <c r="P108" s="13" t="s">
        <v>3289</v>
      </c>
      <c r="Q108" s="13" t="s">
        <v>3290</v>
      </c>
      <c r="R108" s="13" t="s">
        <v>1555</v>
      </c>
      <c r="S108" s="13" t="s">
        <v>3291</v>
      </c>
      <c r="T108" s="13" t="s">
        <v>3292</v>
      </c>
      <c r="U108" s="13" t="s">
        <v>3293</v>
      </c>
      <c r="V108" s="13" t="s">
        <v>3294</v>
      </c>
      <c r="W108" s="13" t="s">
        <v>3201</v>
      </c>
      <c r="X108" s="13"/>
      <c r="Y108" s="13"/>
      <c r="Z108" s="14"/>
    </row>
    <row r="109" customFormat="false" ht="34.5" hidden="false" customHeight="true" outlineLevel="0" collapsed="false">
      <c r="A109" s="9" t="s">
        <v>3295</v>
      </c>
      <c r="B109" s="9" t="s">
        <v>174</v>
      </c>
      <c r="C109" s="9" t="s">
        <v>1705</v>
      </c>
      <c r="D109" s="9" t="s">
        <v>3296</v>
      </c>
      <c r="E109" s="9" t="s">
        <v>1139</v>
      </c>
      <c r="F109" s="9" t="s">
        <v>2002</v>
      </c>
      <c r="G109" s="11" t="n">
        <v>0</v>
      </c>
      <c r="H109" s="9" t="s">
        <v>73</v>
      </c>
      <c r="I109" s="9" t="s">
        <v>2026</v>
      </c>
      <c r="J109" s="9" t="s">
        <v>1977</v>
      </c>
      <c r="K109" s="9"/>
      <c r="L109" s="13" t="n">
        <v>4</v>
      </c>
      <c r="M109" s="13" t="s">
        <v>3297</v>
      </c>
      <c r="N109" s="13" t="s">
        <v>3298</v>
      </c>
      <c r="O109" s="13" t="s">
        <v>2256</v>
      </c>
      <c r="P109" s="13" t="s">
        <v>2145</v>
      </c>
      <c r="Q109" s="13" t="s">
        <v>2257</v>
      </c>
      <c r="R109" s="13" t="s">
        <v>2147</v>
      </c>
      <c r="S109" s="13" t="s">
        <v>3299</v>
      </c>
      <c r="T109" s="13" t="s">
        <v>2259</v>
      </c>
      <c r="U109" s="13" t="s">
        <v>2260</v>
      </c>
      <c r="V109" s="13" t="s">
        <v>2128</v>
      </c>
      <c r="W109" s="13"/>
      <c r="X109" s="13"/>
      <c r="Y109" s="13"/>
      <c r="Z109" s="14"/>
    </row>
    <row r="110" customFormat="false" ht="45.75" hidden="false" customHeight="true" outlineLevel="0" collapsed="false">
      <c r="A110" s="9" t="s">
        <v>3300</v>
      </c>
      <c r="B110" s="9" t="s">
        <v>174</v>
      </c>
      <c r="C110" s="9" t="s">
        <v>1705</v>
      </c>
      <c r="D110" s="9" t="s">
        <v>3301</v>
      </c>
      <c r="E110" s="9" t="s">
        <v>1138</v>
      </c>
      <c r="F110" s="9" t="s">
        <v>1976</v>
      </c>
      <c r="G110" s="11" t="n">
        <v>60</v>
      </c>
      <c r="H110" s="9" t="s">
        <v>73</v>
      </c>
      <c r="I110" s="9" t="s">
        <v>417</v>
      </c>
      <c r="J110" s="9" t="s">
        <v>1977</v>
      </c>
      <c r="K110" s="9"/>
      <c r="L110" s="13" t="n">
        <v>4</v>
      </c>
      <c r="M110" s="13" t="s">
        <v>2014</v>
      </c>
      <c r="N110" s="13" t="s">
        <v>3302</v>
      </c>
      <c r="O110" s="13" t="s">
        <v>3303</v>
      </c>
      <c r="P110" s="13" t="s">
        <v>3304</v>
      </c>
      <c r="Q110" s="13" t="s">
        <v>3305</v>
      </c>
      <c r="R110" s="13" t="s">
        <v>3306</v>
      </c>
      <c r="S110" s="13" t="s">
        <v>3307</v>
      </c>
      <c r="T110" s="13" t="s">
        <v>2021</v>
      </c>
      <c r="U110" s="13" t="s">
        <v>3308</v>
      </c>
      <c r="V110" s="13" t="s">
        <v>3007</v>
      </c>
      <c r="W110" s="13" t="s">
        <v>3309</v>
      </c>
      <c r="X110" s="13"/>
      <c r="Y110" s="13"/>
      <c r="Z110" s="14"/>
    </row>
    <row r="111" customFormat="false" ht="68.25" hidden="false" customHeight="true" outlineLevel="0" collapsed="false">
      <c r="A111" s="9" t="s">
        <v>3310</v>
      </c>
      <c r="B111" s="9" t="s">
        <v>193</v>
      </c>
      <c r="C111" s="9" t="s">
        <v>1716</v>
      </c>
      <c r="D111" s="9" t="s">
        <v>3311</v>
      </c>
      <c r="E111" s="9" t="s">
        <v>1135</v>
      </c>
      <c r="F111" s="9" t="s">
        <v>1976</v>
      </c>
      <c r="G111" s="15" t="n">
        <v>1500</v>
      </c>
      <c r="H111" s="9" t="s">
        <v>110</v>
      </c>
      <c r="I111" s="9" t="s">
        <v>379</v>
      </c>
      <c r="J111" s="9" t="s">
        <v>1977</v>
      </c>
      <c r="K111" s="9"/>
      <c r="L111" s="13" t="n">
        <v>1</v>
      </c>
      <c r="M111" s="13" t="s">
        <v>3312</v>
      </c>
      <c r="N111" s="13" t="s">
        <v>3313</v>
      </c>
      <c r="O111" s="13" t="s">
        <v>3314</v>
      </c>
      <c r="P111" s="13" t="s">
        <v>3315</v>
      </c>
      <c r="Q111" s="13" t="s">
        <v>3316</v>
      </c>
      <c r="R111" s="13" t="s">
        <v>3317</v>
      </c>
      <c r="S111" s="13" t="s">
        <v>3318</v>
      </c>
      <c r="T111" s="13" t="s">
        <v>3319</v>
      </c>
      <c r="U111" s="13" t="s">
        <v>3320</v>
      </c>
      <c r="V111" s="13" t="s">
        <v>3321</v>
      </c>
      <c r="W111" s="13"/>
      <c r="X111" s="13"/>
      <c r="Y111" s="13"/>
      <c r="Z111" s="14"/>
    </row>
    <row r="112" customFormat="false" ht="45.75" hidden="false" customHeight="true" outlineLevel="0" collapsed="false">
      <c r="A112" s="9" t="s">
        <v>3322</v>
      </c>
      <c r="B112" s="9" t="s">
        <v>193</v>
      </c>
      <c r="C112" s="9" t="s">
        <v>1739</v>
      </c>
      <c r="D112" s="9" t="s">
        <v>3323</v>
      </c>
      <c r="E112" s="9" t="s">
        <v>1137</v>
      </c>
      <c r="F112" s="9" t="s">
        <v>2002</v>
      </c>
      <c r="G112" s="15" t="n">
        <v>500</v>
      </c>
      <c r="H112" s="9" t="s">
        <v>110</v>
      </c>
      <c r="I112" s="9" t="s">
        <v>379</v>
      </c>
      <c r="J112" s="9" t="s">
        <v>1977</v>
      </c>
      <c r="K112" s="9"/>
      <c r="L112" s="13" t="n">
        <v>1</v>
      </c>
      <c r="M112" s="13" t="s">
        <v>3324</v>
      </c>
      <c r="N112" s="13" t="s">
        <v>3325</v>
      </c>
      <c r="O112" s="13" t="s">
        <v>3326</v>
      </c>
      <c r="P112" s="13" t="s">
        <v>3327</v>
      </c>
      <c r="Q112" s="13" t="s">
        <v>3328</v>
      </c>
      <c r="R112" s="13" t="s">
        <v>3329</v>
      </c>
      <c r="S112" s="13" t="s">
        <v>3330</v>
      </c>
      <c r="T112" s="13" t="s">
        <v>3331</v>
      </c>
      <c r="U112" s="13" t="s">
        <v>3332</v>
      </c>
      <c r="V112" s="13" t="s">
        <v>3333</v>
      </c>
      <c r="W112" s="13" t="s">
        <v>3310</v>
      </c>
      <c r="X112" s="13"/>
      <c r="Y112" s="13"/>
      <c r="Z112" s="14"/>
    </row>
    <row r="113" customFormat="false" ht="45.75" hidden="false" customHeight="true" outlineLevel="0" collapsed="false">
      <c r="A113" s="9" t="s">
        <v>3334</v>
      </c>
      <c r="B113" s="9" t="s">
        <v>193</v>
      </c>
      <c r="C113" s="9" t="s">
        <v>1716</v>
      </c>
      <c r="D113" s="9" t="s">
        <v>3335</v>
      </c>
      <c r="E113" s="9" t="s">
        <v>1136</v>
      </c>
      <c r="F113" s="9" t="s">
        <v>1976</v>
      </c>
      <c r="G113" s="15" t="n">
        <v>1800</v>
      </c>
      <c r="H113" s="9" t="s">
        <v>110</v>
      </c>
      <c r="I113" s="9" t="s">
        <v>379</v>
      </c>
      <c r="J113" s="9" t="s">
        <v>1977</v>
      </c>
      <c r="K113" s="9"/>
      <c r="L113" s="13" t="n">
        <v>2</v>
      </c>
      <c r="M113" s="13" t="s">
        <v>3336</v>
      </c>
      <c r="N113" s="13" t="s">
        <v>3337</v>
      </c>
      <c r="O113" s="13" t="s">
        <v>3338</v>
      </c>
      <c r="P113" s="13" t="s">
        <v>3339</v>
      </c>
      <c r="Q113" s="13" t="s">
        <v>3340</v>
      </c>
      <c r="R113" s="13" t="s">
        <v>3341</v>
      </c>
      <c r="S113" s="13" t="s">
        <v>3342</v>
      </c>
      <c r="T113" s="13" t="s">
        <v>3343</v>
      </c>
      <c r="U113" s="13" t="s">
        <v>3344</v>
      </c>
      <c r="V113" s="13" t="s">
        <v>3345</v>
      </c>
      <c r="W113" s="13" t="s">
        <v>3310</v>
      </c>
      <c r="X113" s="13"/>
      <c r="Y113" s="13"/>
      <c r="Z113" s="14"/>
    </row>
    <row r="114" customFormat="false" ht="79.5" hidden="false" customHeight="true" outlineLevel="0" collapsed="false">
      <c r="A114" s="9" t="s">
        <v>3346</v>
      </c>
      <c r="B114" s="9" t="s">
        <v>193</v>
      </c>
      <c r="C114" s="9" t="s">
        <v>1716</v>
      </c>
      <c r="D114" s="9" t="s">
        <v>3347</v>
      </c>
      <c r="E114" s="9" t="s">
        <v>1135</v>
      </c>
      <c r="F114" s="9" t="s">
        <v>2002</v>
      </c>
      <c r="G114" s="15" t="n">
        <v>400</v>
      </c>
      <c r="H114" s="9" t="s">
        <v>110</v>
      </c>
      <c r="I114" s="9" t="s">
        <v>2026</v>
      </c>
      <c r="J114" s="9" t="s">
        <v>1977</v>
      </c>
      <c r="K114" s="9"/>
      <c r="L114" s="13" t="n">
        <v>2</v>
      </c>
      <c r="M114" s="13" t="s">
        <v>3348</v>
      </c>
      <c r="N114" s="13" t="s">
        <v>3349</v>
      </c>
      <c r="O114" s="13" t="s">
        <v>3350</v>
      </c>
      <c r="P114" s="13" t="s">
        <v>3351</v>
      </c>
      <c r="Q114" s="13" t="s">
        <v>3352</v>
      </c>
      <c r="R114" s="13" t="s">
        <v>3353</v>
      </c>
      <c r="S114" s="13" t="s">
        <v>3354</v>
      </c>
      <c r="T114" s="13" t="s">
        <v>3355</v>
      </c>
      <c r="U114" s="13" t="s">
        <v>3356</v>
      </c>
      <c r="V114" s="13" t="s">
        <v>3357</v>
      </c>
      <c r="W114" s="13" t="s">
        <v>3310</v>
      </c>
      <c r="X114" s="13" t="s">
        <v>3358</v>
      </c>
      <c r="Y114" s="13" t="s">
        <v>3359</v>
      </c>
      <c r="Z114" s="14"/>
    </row>
    <row r="115" customFormat="false" ht="57" hidden="false" customHeight="true" outlineLevel="0" collapsed="false">
      <c r="A115" s="9" t="s">
        <v>3360</v>
      </c>
      <c r="B115" s="9" t="s">
        <v>193</v>
      </c>
      <c r="C115" s="9" t="s">
        <v>1716</v>
      </c>
      <c r="D115" s="9" t="s">
        <v>3361</v>
      </c>
      <c r="E115" s="9" t="s">
        <v>1140</v>
      </c>
      <c r="F115" s="9" t="s">
        <v>2002</v>
      </c>
      <c r="G115" s="15" t="n">
        <v>300</v>
      </c>
      <c r="H115" s="9" t="s">
        <v>110</v>
      </c>
      <c r="I115" s="9" t="s">
        <v>2026</v>
      </c>
      <c r="J115" s="9" t="s">
        <v>1977</v>
      </c>
      <c r="K115" s="9"/>
      <c r="L115" s="13" t="n">
        <v>2</v>
      </c>
      <c r="M115" s="13" t="s">
        <v>3362</v>
      </c>
      <c r="N115" s="13" t="s">
        <v>3363</v>
      </c>
      <c r="O115" s="13" t="s">
        <v>3364</v>
      </c>
      <c r="P115" s="13" t="s">
        <v>3365</v>
      </c>
      <c r="Q115" s="13" t="s">
        <v>3366</v>
      </c>
      <c r="R115" s="13" t="s">
        <v>3367</v>
      </c>
      <c r="S115" s="13" t="s">
        <v>3368</v>
      </c>
      <c r="T115" s="13" t="s">
        <v>3369</v>
      </c>
      <c r="U115" s="13" t="s">
        <v>3370</v>
      </c>
      <c r="V115" s="13" t="s">
        <v>3371</v>
      </c>
      <c r="W115" s="13" t="s">
        <v>3334</v>
      </c>
      <c r="X115" s="13"/>
      <c r="Y115" s="13"/>
      <c r="Z115" s="14"/>
    </row>
    <row r="116" customFormat="false" ht="68.25" hidden="false" customHeight="true" outlineLevel="0" collapsed="false">
      <c r="A116" s="9" t="s">
        <v>3372</v>
      </c>
      <c r="B116" s="9" t="s">
        <v>193</v>
      </c>
      <c r="C116" s="9" t="s">
        <v>1716</v>
      </c>
      <c r="D116" s="9" t="s">
        <v>3373</v>
      </c>
      <c r="E116" s="9" t="s">
        <v>1136</v>
      </c>
      <c r="F116" s="9" t="s">
        <v>1976</v>
      </c>
      <c r="G116" s="15" t="n">
        <v>1500</v>
      </c>
      <c r="H116" s="9" t="s">
        <v>110</v>
      </c>
      <c r="I116" s="9" t="s">
        <v>2026</v>
      </c>
      <c r="J116" s="9" t="s">
        <v>1977</v>
      </c>
      <c r="K116" s="9"/>
      <c r="L116" s="13" t="n">
        <v>2</v>
      </c>
      <c r="M116" s="13" t="s">
        <v>3374</v>
      </c>
      <c r="N116" s="13" t="s">
        <v>3375</v>
      </c>
      <c r="O116" s="13" t="s">
        <v>3376</v>
      </c>
      <c r="P116" s="13" t="s">
        <v>3377</v>
      </c>
      <c r="Q116" s="13" t="s">
        <v>3378</v>
      </c>
      <c r="R116" s="13" t="s">
        <v>3379</v>
      </c>
      <c r="S116" s="13" t="s">
        <v>3380</v>
      </c>
      <c r="T116" s="13" t="s">
        <v>3381</v>
      </c>
      <c r="U116" s="13" t="s">
        <v>3382</v>
      </c>
      <c r="V116" s="13" t="s">
        <v>3383</v>
      </c>
      <c r="W116" s="13" t="s">
        <v>3310</v>
      </c>
      <c r="X116" s="13" t="s">
        <v>3384</v>
      </c>
      <c r="Y116" s="13" t="s">
        <v>3385</v>
      </c>
      <c r="Z116" s="14"/>
    </row>
    <row r="117" customFormat="false" ht="68.25" hidden="false" customHeight="true" outlineLevel="0" collapsed="false">
      <c r="A117" s="9" t="s">
        <v>3386</v>
      </c>
      <c r="B117" s="9" t="s">
        <v>193</v>
      </c>
      <c r="C117" s="9" t="s">
        <v>1728</v>
      </c>
      <c r="D117" s="9" t="s">
        <v>3387</v>
      </c>
      <c r="E117" s="9" t="s">
        <v>1140</v>
      </c>
      <c r="F117" s="9" t="s">
        <v>1976</v>
      </c>
      <c r="G117" s="15" t="n">
        <v>1000</v>
      </c>
      <c r="H117" s="9" t="s">
        <v>110</v>
      </c>
      <c r="I117" s="9" t="s">
        <v>2026</v>
      </c>
      <c r="J117" s="9" t="s">
        <v>2842</v>
      </c>
      <c r="K117" s="9" t="s">
        <v>3388</v>
      </c>
      <c r="L117" s="13" t="n">
        <v>2</v>
      </c>
      <c r="M117" s="13" t="s">
        <v>3389</v>
      </c>
      <c r="N117" s="13" t="s">
        <v>3390</v>
      </c>
      <c r="O117" s="13" t="s">
        <v>3391</v>
      </c>
      <c r="P117" s="13" t="s">
        <v>3392</v>
      </c>
      <c r="Q117" s="13" t="s">
        <v>3393</v>
      </c>
      <c r="R117" s="13" t="s">
        <v>3394</v>
      </c>
      <c r="S117" s="13" t="s">
        <v>3395</v>
      </c>
      <c r="T117" s="13" t="s">
        <v>3396</v>
      </c>
      <c r="U117" s="13" t="s">
        <v>3397</v>
      </c>
      <c r="V117" s="13" t="s">
        <v>3398</v>
      </c>
      <c r="W117" s="13" t="s">
        <v>3310</v>
      </c>
      <c r="X117" s="13" t="s">
        <v>3399</v>
      </c>
      <c r="Y117" s="13" t="s">
        <v>3400</v>
      </c>
      <c r="Z117" s="14"/>
    </row>
    <row r="118" customFormat="false" ht="68.25" hidden="false" customHeight="true" outlineLevel="0" collapsed="false">
      <c r="A118" s="9" t="s">
        <v>3401</v>
      </c>
      <c r="B118" s="9" t="s">
        <v>193</v>
      </c>
      <c r="C118" s="9" t="s">
        <v>1728</v>
      </c>
      <c r="D118" s="9" t="s">
        <v>3402</v>
      </c>
      <c r="E118" s="9" t="s">
        <v>1133</v>
      </c>
      <c r="F118" s="9" t="s">
        <v>2312</v>
      </c>
      <c r="G118" s="15" t="n">
        <v>5000</v>
      </c>
      <c r="H118" s="9" t="s">
        <v>110</v>
      </c>
      <c r="I118" s="9" t="s">
        <v>2026</v>
      </c>
      <c r="J118" s="9" t="s">
        <v>2842</v>
      </c>
      <c r="K118" s="9" t="s">
        <v>3403</v>
      </c>
      <c r="L118" s="13" t="n">
        <v>2</v>
      </c>
      <c r="M118" s="13" t="s">
        <v>3404</v>
      </c>
      <c r="N118" s="13" t="s">
        <v>3405</v>
      </c>
      <c r="O118" s="13" t="s">
        <v>3406</v>
      </c>
      <c r="P118" s="13" t="s">
        <v>3407</v>
      </c>
      <c r="Q118" s="13" t="s">
        <v>3408</v>
      </c>
      <c r="R118" s="13" t="s">
        <v>3409</v>
      </c>
      <c r="S118" s="13" t="s">
        <v>3410</v>
      </c>
      <c r="T118" s="13" t="s">
        <v>3411</v>
      </c>
      <c r="U118" s="13" t="s">
        <v>3412</v>
      </c>
      <c r="V118" s="13" t="s">
        <v>3413</v>
      </c>
      <c r="W118" s="13" t="s">
        <v>3414</v>
      </c>
      <c r="X118" s="13"/>
      <c r="Y118" s="13"/>
      <c r="Z118" s="14"/>
    </row>
    <row r="119" customFormat="false" ht="57" hidden="false" customHeight="true" outlineLevel="0" collapsed="false">
      <c r="A119" s="9" t="s">
        <v>3415</v>
      </c>
      <c r="B119" s="9" t="s">
        <v>193</v>
      </c>
      <c r="C119" s="9" t="s">
        <v>1739</v>
      </c>
      <c r="D119" s="9" t="s">
        <v>3416</v>
      </c>
      <c r="E119" s="9" t="s">
        <v>1134</v>
      </c>
      <c r="F119" s="9" t="s">
        <v>2002</v>
      </c>
      <c r="G119" s="15" t="n">
        <v>400</v>
      </c>
      <c r="H119" s="9" t="s">
        <v>110</v>
      </c>
      <c r="I119" s="9" t="s">
        <v>2026</v>
      </c>
      <c r="J119" s="9" t="s">
        <v>1977</v>
      </c>
      <c r="K119" s="9"/>
      <c r="L119" s="13" t="n">
        <v>2</v>
      </c>
      <c r="M119" s="13" t="s">
        <v>3417</v>
      </c>
      <c r="N119" s="13" t="s">
        <v>3418</v>
      </c>
      <c r="O119" s="13" t="s">
        <v>3419</v>
      </c>
      <c r="P119" s="13" t="s">
        <v>3420</v>
      </c>
      <c r="Q119" s="13" t="s">
        <v>3421</v>
      </c>
      <c r="R119" s="13" t="s">
        <v>3422</v>
      </c>
      <c r="S119" s="13" t="s">
        <v>3423</v>
      </c>
      <c r="T119" s="13" t="s">
        <v>3424</v>
      </c>
      <c r="U119" s="13" t="s">
        <v>3425</v>
      </c>
      <c r="V119" s="13" t="s">
        <v>3426</v>
      </c>
      <c r="W119" s="13"/>
      <c r="X119" s="13" t="s">
        <v>3427</v>
      </c>
      <c r="Y119" s="13" t="s">
        <v>3428</v>
      </c>
      <c r="Z119" s="14"/>
    </row>
    <row r="120" customFormat="false" ht="45.75" hidden="false" customHeight="true" outlineLevel="0" collapsed="false">
      <c r="A120" s="9" t="s">
        <v>3429</v>
      </c>
      <c r="B120" s="9" t="s">
        <v>193</v>
      </c>
      <c r="C120" s="9" t="s">
        <v>1728</v>
      </c>
      <c r="D120" s="9" t="s">
        <v>3430</v>
      </c>
      <c r="E120" s="9" t="s">
        <v>1139</v>
      </c>
      <c r="F120" s="9" t="s">
        <v>2002</v>
      </c>
      <c r="G120" s="15" t="n">
        <v>0</v>
      </c>
      <c r="H120" s="9" t="s">
        <v>110</v>
      </c>
      <c r="I120" s="9" t="s">
        <v>2026</v>
      </c>
      <c r="J120" s="9" t="s">
        <v>1977</v>
      </c>
      <c r="K120" s="9"/>
      <c r="L120" s="13" t="n">
        <v>2</v>
      </c>
      <c r="M120" s="13" t="s">
        <v>3431</v>
      </c>
      <c r="N120" s="13" t="s">
        <v>3432</v>
      </c>
      <c r="O120" s="13" t="s">
        <v>3433</v>
      </c>
      <c r="P120" s="13" t="s">
        <v>2145</v>
      </c>
      <c r="Q120" s="13" t="s">
        <v>3434</v>
      </c>
      <c r="R120" s="13" t="s">
        <v>3435</v>
      </c>
      <c r="S120" s="13" t="s">
        <v>3436</v>
      </c>
      <c r="T120" s="13" t="s">
        <v>2421</v>
      </c>
      <c r="U120" s="13" t="s">
        <v>2422</v>
      </c>
      <c r="V120" s="13" t="s">
        <v>2128</v>
      </c>
      <c r="W120" s="13"/>
      <c r="X120" s="13"/>
      <c r="Y120" s="13"/>
      <c r="Z120" s="14"/>
    </row>
    <row r="121" customFormat="false" ht="57" hidden="false" customHeight="true" outlineLevel="0" collapsed="false">
      <c r="A121" s="9" t="s">
        <v>3437</v>
      </c>
      <c r="B121" s="9" t="s">
        <v>193</v>
      </c>
      <c r="C121" s="9" t="s">
        <v>1716</v>
      </c>
      <c r="D121" s="9" t="s">
        <v>3438</v>
      </c>
      <c r="E121" s="9" t="s">
        <v>1137</v>
      </c>
      <c r="F121" s="9" t="s">
        <v>2002</v>
      </c>
      <c r="G121" s="15" t="n">
        <v>500</v>
      </c>
      <c r="H121" s="9" t="s">
        <v>110</v>
      </c>
      <c r="I121" s="9" t="s">
        <v>2026</v>
      </c>
      <c r="J121" s="9" t="s">
        <v>1977</v>
      </c>
      <c r="K121" s="9"/>
      <c r="L121" s="13" t="n">
        <v>2</v>
      </c>
      <c r="M121" s="13" t="s">
        <v>3439</v>
      </c>
      <c r="N121" s="13" t="s">
        <v>3440</v>
      </c>
      <c r="O121" s="13" t="s">
        <v>3441</v>
      </c>
      <c r="P121" s="13" t="s">
        <v>3442</v>
      </c>
      <c r="Q121" s="13" t="s">
        <v>3443</v>
      </c>
      <c r="R121" s="13" t="s">
        <v>3444</v>
      </c>
      <c r="S121" s="13" t="s">
        <v>3445</v>
      </c>
      <c r="T121" s="13" t="s">
        <v>3446</v>
      </c>
      <c r="U121" s="13" t="s">
        <v>3447</v>
      </c>
      <c r="V121" s="13" t="s">
        <v>3448</v>
      </c>
      <c r="W121" s="13" t="s">
        <v>3449</v>
      </c>
      <c r="X121" s="13"/>
      <c r="Y121" s="13"/>
      <c r="Z121" s="14"/>
    </row>
    <row r="122" customFormat="false" ht="68.25" hidden="false" customHeight="true" outlineLevel="0" collapsed="false">
      <c r="A122" s="9" t="s">
        <v>3450</v>
      </c>
      <c r="B122" s="9" t="s">
        <v>193</v>
      </c>
      <c r="C122" s="9" t="s">
        <v>1728</v>
      </c>
      <c r="D122" s="9" t="s">
        <v>3451</v>
      </c>
      <c r="E122" s="9" t="s">
        <v>1138</v>
      </c>
      <c r="F122" s="9" t="s">
        <v>2002</v>
      </c>
      <c r="G122" s="15" t="n">
        <v>400</v>
      </c>
      <c r="H122" s="9" t="s">
        <v>110</v>
      </c>
      <c r="I122" s="9" t="s">
        <v>2026</v>
      </c>
      <c r="J122" s="9" t="s">
        <v>1977</v>
      </c>
      <c r="K122" s="9"/>
      <c r="L122" s="13" t="n">
        <v>2</v>
      </c>
      <c r="M122" s="13" t="s">
        <v>3452</v>
      </c>
      <c r="N122" s="13" t="s">
        <v>3453</v>
      </c>
      <c r="O122" s="13" t="s">
        <v>3454</v>
      </c>
      <c r="P122" s="13" t="s">
        <v>3455</v>
      </c>
      <c r="Q122" s="13" t="s">
        <v>3456</v>
      </c>
      <c r="R122" s="13" t="s">
        <v>3457</v>
      </c>
      <c r="S122" s="13" t="s">
        <v>3458</v>
      </c>
      <c r="T122" s="13" t="s">
        <v>3459</v>
      </c>
      <c r="U122" s="13" t="s">
        <v>3460</v>
      </c>
      <c r="V122" s="13" t="s">
        <v>3461</v>
      </c>
      <c r="W122" s="13" t="s">
        <v>3346</v>
      </c>
      <c r="X122" s="13"/>
      <c r="Y122" s="13"/>
      <c r="Z122" s="14"/>
    </row>
    <row r="123" customFormat="false" ht="57" hidden="false" customHeight="true" outlineLevel="0" collapsed="false">
      <c r="A123" s="9" t="s">
        <v>3462</v>
      </c>
      <c r="B123" s="9" t="s">
        <v>193</v>
      </c>
      <c r="C123" s="9" t="s">
        <v>1728</v>
      </c>
      <c r="D123" s="9" t="s">
        <v>3463</v>
      </c>
      <c r="E123" s="9" t="s">
        <v>1137</v>
      </c>
      <c r="F123" s="9" t="s">
        <v>2002</v>
      </c>
      <c r="G123" s="15" t="n">
        <v>500</v>
      </c>
      <c r="H123" s="9" t="s">
        <v>110</v>
      </c>
      <c r="I123" s="9" t="s">
        <v>417</v>
      </c>
      <c r="J123" s="9" t="s">
        <v>1977</v>
      </c>
      <c r="K123" s="9"/>
      <c r="L123" s="13" t="n">
        <v>3</v>
      </c>
      <c r="M123" s="13" t="s">
        <v>3464</v>
      </c>
      <c r="N123" s="13" t="s">
        <v>3465</v>
      </c>
      <c r="O123" s="13" t="s">
        <v>3466</v>
      </c>
      <c r="P123" s="13" t="s">
        <v>3467</v>
      </c>
      <c r="Q123" s="13" t="s">
        <v>3468</v>
      </c>
      <c r="R123" s="13" t="s">
        <v>3469</v>
      </c>
      <c r="S123" s="13" t="s">
        <v>3470</v>
      </c>
      <c r="T123" s="13" t="s">
        <v>3471</v>
      </c>
      <c r="U123" s="13" t="s">
        <v>3472</v>
      </c>
      <c r="V123" s="13" t="s">
        <v>3473</v>
      </c>
      <c r="W123" s="13" t="s">
        <v>3474</v>
      </c>
      <c r="X123" s="13"/>
      <c r="Y123" s="13"/>
      <c r="Z123" s="14"/>
    </row>
    <row r="124" customFormat="false" ht="68.25" hidden="false" customHeight="true" outlineLevel="0" collapsed="false">
      <c r="A124" s="9" t="s">
        <v>3475</v>
      </c>
      <c r="B124" s="9" t="s">
        <v>193</v>
      </c>
      <c r="C124" s="9" t="s">
        <v>1728</v>
      </c>
      <c r="D124" s="9" t="s">
        <v>3476</v>
      </c>
      <c r="E124" s="9" t="s">
        <v>1140</v>
      </c>
      <c r="F124" s="9" t="s">
        <v>1976</v>
      </c>
      <c r="G124" s="15" t="n">
        <v>1200</v>
      </c>
      <c r="H124" s="9" t="s">
        <v>110</v>
      </c>
      <c r="I124" s="9" t="s">
        <v>417</v>
      </c>
      <c r="J124" s="9" t="s">
        <v>2842</v>
      </c>
      <c r="K124" s="9" t="s">
        <v>3477</v>
      </c>
      <c r="L124" s="13" t="n">
        <v>3</v>
      </c>
      <c r="M124" s="13" t="s">
        <v>3478</v>
      </c>
      <c r="N124" s="13" t="s">
        <v>3479</v>
      </c>
      <c r="O124" s="13" t="s">
        <v>3480</v>
      </c>
      <c r="P124" s="13" t="s">
        <v>3481</v>
      </c>
      <c r="Q124" s="13" t="s">
        <v>3482</v>
      </c>
      <c r="R124" s="13" t="s">
        <v>3483</v>
      </c>
      <c r="S124" s="13" t="s">
        <v>3484</v>
      </c>
      <c r="T124" s="13" t="s">
        <v>3485</v>
      </c>
      <c r="U124" s="13" t="s">
        <v>3486</v>
      </c>
      <c r="V124" s="13" t="s">
        <v>3487</v>
      </c>
      <c r="W124" s="13" t="s">
        <v>3401</v>
      </c>
      <c r="X124" s="13" t="s">
        <v>3488</v>
      </c>
      <c r="Y124" s="13" t="s">
        <v>3489</v>
      </c>
      <c r="Z124" s="14"/>
    </row>
    <row r="125" customFormat="false" ht="79.5" hidden="false" customHeight="true" outlineLevel="0" collapsed="false">
      <c r="A125" s="9" t="s">
        <v>3490</v>
      </c>
      <c r="B125" s="9" t="s">
        <v>193</v>
      </c>
      <c r="C125" s="9" t="s">
        <v>1739</v>
      </c>
      <c r="D125" s="9" t="s">
        <v>3491</v>
      </c>
      <c r="E125" s="9" t="s">
        <v>1137</v>
      </c>
      <c r="F125" s="9" t="s">
        <v>1976</v>
      </c>
      <c r="G125" s="15" t="n">
        <v>1200</v>
      </c>
      <c r="H125" s="9" t="s">
        <v>110</v>
      </c>
      <c r="I125" s="9" t="s">
        <v>417</v>
      </c>
      <c r="J125" s="9" t="s">
        <v>1977</v>
      </c>
      <c r="K125" s="9"/>
      <c r="L125" s="13" t="n">
        <v>4</v>
      </c>
      <c r="M125" s="13" t="s">
        <v>3492</v>
      </c>
      <c r="N125" s="13" t="s">
        <v>3493</v>
      </c>
      <c r="O125" s="13" t="s">
        <v>3494</v>
      </c>
      <c r="P125" s="13" t="s">
        <v>3495</v>
      </c>
      <c r="Q125" s="13" t="s">
        <v>3496</v>
      </c>
      <c r="R125" s="13" t="s">
        <v>3497</v>
      </c>
      <c r="S125" s="13" t="s">
        <v>3498</v>
      </c>
      <c r="T125" s="13" t="s">
        <v>3499</v>
      </c>
      <c r="U125" s="13" t="s">
        <v>3500</v>
      </c>
      <c r="V125" s="13" t="s">
        <v>3501</v>
      </c>
      <c r="W125" s="13" t="s">
        <v>3502</v>
      </c>
      <c r="X125" s="13" t="s">
        <v>3503</v>
      </c>
      <c r="Y125" s="13" t="s">
        <v>3504</v>
      </c>
      <c r="Z125" s="14"/>
    </row>
    <row r="126" customFormat="false" ht="57" hidden="false" customHeight="true" outlineLevel="0" collapsed="false">
      <c r="A126" s="9" t="s">
        <v>3505</v>
      </c>
      <c r="B126" s="9" t="s">
        <v>193</v>
      </c>
      <c r="C126" s="9" t="s">
        <v>1739</v>
      </c>
      <c r="D126" s="9" t="s">
        <v>3506</v>
      </c>
      <c r="E126" s="9" t="s">
        <v>1138</v>
      </c>
      <c r="F126" s="9" t="s">
        <v>1976</v>
      </c>
      <c r="G126" s="15" t="n">
        <v>1000</v>
      </c>
      <c r="H126" s="9" t="s">
        <v>110</v>
      </c>
      <c r="I126" s="9" t="s">
        <v>417</v>
      </c>
      <c r="J126" s="9" t="s">
        <v>1977</v>
      </c>
      <c r="K126" s="9"/>
      <c r="L126" s="13" t="n">
        <v>4</v>
      </c>
      <c r="M126" s="13" t="s">
        <v>3507</v>
      </c>
      <c r="N126" s="13" t="s">
        <v>3508</v>
      </c>
      <c r="O126" s="13" t="s">
        <v>3509</v>
      </c>
      <c r="P126" s="13" t="s">
        <v>3510</v>
      </c>
      <c r="Q126" s="13" t="s">
        <v>3511</v>
      </c>
      <c r="R126" s="13" t="s">
        <v>3512</v>
      </c>
      <c r="S126" s="13" t="s">
        <v>3513</v>
      </c>
      <c r="T126" s="13" t="s">
        <v>3514</v>
      </c>
      <c r="U126" s="13" t="s">
        <v>3515</v>
      </c>
      <c r="V126" s="13" t="s">
        <v>3516</v>
      </c>
      <c r="W126" s="13" t="s">
        <v>3490</v>
      </c>
      <c r="X126" s="13"/>
      <c r="Y126" s="13"/>
      <c r="Z126" s="14"/>
    </row>
    <row r="127" customFormat="false" ht="45.75" hidden="false" customHeight="true" outlineLevel="0" collapsed="false">
      <c r="A127" s="9" t="s">
        <v>3517</v>
      </c>
      <c r="B127" s="9" t="s">
        <v>210</v>
      </c>
      <c r="C127" s="9" t="s">
        <v>1750</v>
      </c>
      <c r="D127" s="9" t="s">
        <v>3518</v>
      </c>
      <c r="E127" s="9" t="s">
        <v>1136</v>
      </c>
      <c r="F127" s="9" t="s">
        <v>2002</v>
      </c>
      <c r="G127" s="15" t="n">
        <v>500</v>
      </c>
      <c r="H127" s="9" t="s">
        <v>110</v>
      </c>
      <c r="I127" s="9" t="s">
        <v>379</v>
      </c>
      <c r="J127" s="9" t="s">
        <v>1977</v>
      </c>
      <c r="K127" s="9"/>
      <c r="L127" s="13" t="n">
        <v>1</v>
      </c>
      <c r="M127" s="13" t="s">
        <v>3519</v>
      </c>
      <c r="N127" s="13" t="s">
        <v>3520</v>
      </c>
      <c r="O127" s="13" t="s">
        <v>3521</v>
      </c>
      <c r="P127" s="13" t="s">
        <v>3522</v>
      </c>
      <c r="Q127" s="13" t="s">
        <v>3523</v>
      </c>
      <c r="R127" s="13" t="s">
        <v>3524</v>
      </c>
      <c r="S127" s="13" t="s">
        <v>3525</v>
      </c>
      <c r="T127" s="13" t="s">
        <v>3526</v>
      </c>
      <c r="U127" s="13" t="s">
        <v>3527</v>
      </c>
      <c r="V127" s="13" t="s">
        <v>3528</v>
      </c>
      <c r="W127" s="13"/>
      <c r="X127" s="13"/>
      <c r="Y127" s="13"/>
      <c r="Z127" s="14"/>
    </row>
    <row r="128" customFormat="false" ht="57" hidden="false" customHeight="true" outlineLevel="0" collapsed="false">
      <c r="A128" s="9" t="s">
        <v>3529</v>
      </c>
      <c r="B128" s="9" t="s">
        <v>210</v>
      </c>
      <c r="C128" s="9" t="s">
        <v>1750</v>
      </c>
      <c r="D128" s="9" t="s">
        <v>3530</v>
      </c>
      <c r="E128" s="9" t="s">
        <v>1137</v>
      </c>
      <c r="F128" s="9" t="s">
        <v>2002</v>
      </c>
      <c r="G128" s="15" t="n">
        <v>400</v>
      </c>
      <c r="H128" s="9" t="s">
        <v>110</v>
      </c>
      <c r="I128" s="9" t="s">
        <v>379</v>
      </c>
      <c r="J128" s="9" t="s">
        <v>1977</v>
      </c>
      <c r="K128" s="9"/>
      <c r="L128" s="13" t="n">
        <v>1</v>
      </c>
      <c r="M128" s="13" t="s">
        <v>3531</v>
      </c>
      <c r="N128" s="13" t="s">
        <v>3532</v>
      </c>
      <c r="O128" s="13" t="s">
        <v>3533</v>
      </c>
      <c r="P128" s="13" t="s">
        <v>3534</v>
      </c>
      <c r="Q128" s="13" t="s">
        <v>3535</v>
      </c>
      <c r="R128" s="13" t="s">
        <v>3536</v>
      </c>
      <c r="S128" s="13" t="s">
        <v>3537</v>
      </c>
      <c r="T128" s="13" t="s">
        <v>3538</v>
      </c>
      <c r="U128" s="13" t="s">
        <v>3539</v>
      </c>
      <c r="V128" s="13" t="s">
        <v>3540</v>
      </c>
      <c r="W128" s="13" t="s">
        <v>3517</v>
      </c>
      <c r="X128" s="13" t="s">
        <v>3541</v>
      </c>
      <c r="Y128" s="13" t="s">
        <v>3542</v>
      </c>
      <c r="Z128" s="14"/>
    </row>
    <row r="129" customFormat="false" ht="57" hidden="false" customHeight="true" outlineLevel="0" collapsed="false">
      <c r="A129" s="9" t="s">
        <v>3543</v>
      </c>
      <c r="B129" s="9" t="s">
        <v>210</v>
      </c>
      <c r="C129" s="9" t="s">
        <v>1750</v>
      </c>
      <c r="D129" s="9" t="s">
        <v>3544</v>
      </c>
      <c r="E129" s="9" t="s">
        <v>1136</v>
      </c>
      <c r="F129" s="9" t="s">
        <v>2002</v>
      </c>
      <c r="G129" s="15" t="n">
        <v>500</v>
      </c>
      <c r="H129" s="9" t="s">
        <v>110</v>
      </c>
      <c r="I129" s="9" t="s">
        <v>379</v>
      </c>
      <c r="J129" s="9" t="s">
        <v>1977</v>
      </c>
      <c r="K129" s="9"/>
      <c r="L129" s="13" t="n">
        <v>2</v>
      </c>
      <c r="M129" s="13" t="s">
        <v>3545</v>
      </c>
      <c r="N129" s="13" t="s">
        <v>3546</v>
      </c>
      <c r="O129" s="13" t="s">
        <v>3547</v>
      </c>
      <c r="P129" s="13" t="s">
        <v>3548</v>
      </c>
      <c r="Q129" s="13" t="s">
        <v>3549</v>
      </c>
      <c r="R129" s="13" t="s">
        <v>3550</v>
      </c>
      <c r="S129" s="13" t="s">
        <v>3551</v>
      </c>
      <c r="T129" s="13" t="s">
        <v>3552</v>
      </c>
      <c r="U129" s="13" t="s">
        <v>3553</v>
      </c>
      <c r="V129" s="13" t="s">
        <v>3554</v>
      </c>
      <c r="W129" s="13" t="s">
        <v>3517</v>
      </c>
      <c r="X129" s="13"/>
      <c r="Y129" s="13"/>
      <c r="Z129" s="14"/>
    </row>
    <row r="130" customFormat="false" ht="57" hidden="false" customHeight="true" outlineLevel="0" collapsed="false">
      <c r="A130" s="9" t="s">
        <v>3555</v>
      </c>
      <c r="B130" s="9" t="s">
        <v>210</v>
      </c>
      <c r="C130" s="9" t="s">
        <v>1750</v>
      </c>
      <c r="D130" s="9" t="s">
        <v>3556</v>
      </c>
      <c r="E130" s="9" t="s">
        <v>1136</v>
      </c>
      <c r="F130" s="9" t="s">
        <v>1976</v>
      </c>
      <c r="G130" s="15" t="n">
        <v>1800</v>
      </c>
      <c r="H130" s="9" t="s">
        <v>110</v>
      </c>
      <c r="I130" s="9" t="s">
        <v>2026</v>
      </c>
      <c r="J130" s="9" t="s">
        <v>1977</v>
      </c>
      <c r="K130" s="9"/>
      <c r="L130" s="13" t="n">
        <v>2</v>
      </c>
      <c r="M130" s="13" t="s">
        <v>3557</v>
      </c>
      <c r="N130" s="13" t="s">
        <v>3558</v>
      </c>
      <c r="O130" s="13" t="s">
        <v>3559</v>
      </c>
      <c r="P130" s="13" t="s">
        <v>3560</v>
      </c>
      <c r="Q130" s="13" t="s">
        <v>3561</v>
      </c>
      <c r="R130" s="13" t="s">
        <v>3562</v>
      </c>
      <c r="S130" s="13" t="s">
        <v>3563</v>
      </c>
      <c r="T130" s="13" t="s">
        <v>3564</v>
      </c>
      <c r="U130" s="13" t="s">
        <v>3565</v>
      </c>
      <c r="V130" s="13" t="s">
        <v>3566</v>
      </c>
      <c r="W130" s="13" t="s">
        <v>3529</v>
      </c>
      <c r="X130" s="13"/>
      <c r="Y130" s="13"/>
      <c r="Z130" s="14"/>
    </row>
    <row r="131" customFormat="false" ht="57" hidden="false" customHeight="true" outlineLevel="0" collapsed="false">
      <c r="A131" s="9" t="s">
        <v>3567</v>
      </c>
      <c r="B131" s="9" t="s">
        <v>210</v>
      </c>
      <c r="C131" s="9" t="s">
        <v>1750</v>
      </c>
      <c r="D131" s="9" t="s">
        <v>3568</v>
      </c>
      <c r="E131" s="9" t="s">
        <v>1133</v>
      </c>
      <c r="F131" s="9" t="s">
        <v>2002</v>
      </c>
      <c r="G131" s="15" t="n">
        <v>400</v>
      </c>
      <c r="H131" s="9" t="s">
        <v>110</v>
      </c>
      <c r="I131" s="9" t="s">
        <v>2026</v>
      </c>
      <c r="J131" s="9" t="s">
        <v>1977</v>
      </c>
      <c r="K131" s="9"/>
      <c r="L131" s="13" t="n">
        <v>2</v>
      </c>
      <c r="M131" s="13" t="s">
        <v>3569</v>
      </c>
      <c r="N131" s="13" t="s">
        <v>3570</v>
      </c>
      <c r="O131" s="13" t="s">
        <v>3571</v>
      </c>
      <c r="P131" s="13" t="s">
        <v>3572</v>
      </c>
      <c r="Q131" s="13" t="s">
        <v>3573</v>
      </c>
      <c r="R131" s="13" t="s">
        <v>3574</v>
      </c>
      <c r="S131" s="13" t="s">
        <v>3575</v>
      </c>
      <c r="T131" s="13" t="s">
        <v>3576</v>
      </c>
      <c r="U131" s="13" t="s">
        <v>3577</v>
      </c>
      <c r="V131" s="13" t="s">
        <v>3578</v>
      </c>
      <c r="W131" s="13"/>
      <c r="X131" s="13"/>
      <c r="Y131" s="13"/>
      <c r="Z131" s="14"/>
    </row>
    <row r="132" customFormat="false" ht="57" hidden="false" customHeight="true" outlineLevel="0" collapsed="false">
      <c r="A132" s="9" t="s">
        <v>3579</v>
      </c>
      <c r="B132" s="9" t="s">
        <v>210</v>
      </c>
      <c r="C132" s="9" t="s">
        <v>1750</v>
      </c>
      <c r="D132" s="9" t="s">
        <v>3580</v>
      </c>
      <c r="E132" s="9" t="s">
        <v>1134</v>
      </c>
      <c r="F132" s="9" t="s">
        <v>2002</v>
      </c>
      <c r="G132" s="15" t="n">
        <v>500</v>
      </c>
      <c r="H132" s="9" t="s">
        <v>110</v>
      </c>
      <c r="I132" s="9" t="s">
        <v>2026</v>
      </c>
      <c r="J132" s="9" t="s">
        <v>1977</v>
      </c>
      <c r="K132" s="9"/>
      <c r="L132" s="13" t="n">
        <v>2</v>
      </c>
      <c r="M132" s="13" t="s">
        <v>3581</v>
      </c>
      <c r="N132" s="13" t="s">
        <v>3582</v>
      </c>
      <c r="O132" s="13" t="s">
        <v>3583</v>
      </c>
      <c r="P132" s="13" t="s">
        <v>3584</v>
      </c>
      <c r="Q132" s="13" t="s">
        <v>3585</v>
      </c>
      <c r="R132" s="13" t="s">
        <v>3586</v>
      </c>
      <c r="S132" s="13" t="s">
        <v>3587</v>
      </c>
      <c r="T132" s="13" t="s">
        <v>3588</v>
      </c>
      <c r="U132" s="13" t="s">
        <v>3589</v>
      </c>
      <c r="V132" s="13" t="s">
        <v>2284</v>
      </c>
      <c r="W132" s="13" t="s">
        <v>3590</v>
      </c>
      <c r="X132" s="13"/>
      <c r="Y132" s="13"/>
      <c r="Z132" s="14"/>
    </row>
    <row r="133" customFormat="false" ht="57" hidden="false" customHeight="true" outlineLevel="0" collapsed="false">
      <c r="A133" s="9" t="s">
        <v>3591</v>
      </c>
      <c r="B133" s="9" t="s">
        <v>210</v>
      </c>
      <c r="C133" s="9" t="s">
        <v>1750</v>
      </c>
      <c r="D133" s="9" t="s">
        <v>3592</v>
      </c>
      <c r="E133" s="9" t="s">
        <v>1135</v>
      </c>
      <c r="F133" s="9" t="s">
        <v>1976</v>
      </c>
      <c r="G133" s="15" t="n">
        <v>1200</v>
      </c>
      <c r="H133" s="9" t="s">
        <v>110</v>
      </c>
      <c r="I133" s="9" t="s">
        <v>2026</v>
      </c>
      <c r="J133" s="9" t="s">
        <v>1977</v>
      </c>
      <c r="K133" s="9" t="s">
        <v>3593</v>
      </c>
      <c r="L133" s="13" t="n">
        <v>2</v>
      </c>
      <c r="M133" s="13" t="s">
        <v>3594</v>
      </c>
      <c r="N133" s="13" t="s">
        <v>3595</v>
      </c>
      <c r="O133" s="13" t="s">
        <v>3596</v>
      </c>
      <c r="P133" s="13" t="s">
        <v>3597</v>
      </c>
      <c r="Q133" s="13" t="s">
        <v>3598</v>
      </c>
      <c r="R133" s="13" t="s">
        <v>3599</v>
      </c>
      <c r="S133" s="13" t="s">
        <v>3600</v>
      </c>
      <c r="T133" s="13" t="s">
        <v>3601</v>
      </c>
      <c r="U133" s="13" t="s">
        <v>3602</v>
      </c>
      <c r="V133" s="13" t="s">
        <v>3603</v>
      </c>
      <c r="W133" s="13" t="s">
        <v>3555</v>
      </c>
      <c r="X133" s="13"/>
      <c r="Y133" s="13"/>
      <c r="Z133" s="14"/>
    </row>
    <row r="134" customFormat="false" ht="57" hidden="false" customHeight="true" outlineLevel="0" collapsed="false">
      <c r="A134" s="9" t="s">
        <v>3604</v>
      </c>
      <c r="B134" s="9" t="s">
        <v>210</v>
      </c>
      <c r="C134" s="9" t="s">
        <v>1750</v>
      </c>
      <c r="D134" s="9" t="s">
        <v>3605</v>
      </c>
      <c r="E134" s="9" t="s">
        <v>1135</v>
      </c>
      <c r="F134" s="9" t="s">
        <v>2002</v>
      </c>
      <c r="G134" s="15" t="n">
        <v>500</v>
      </c>
      <c r="H134" s="9" t="s">
        <v>110</v>
      </c>
      <c r="I134" s="9" t="s">
        <v>2026</v>
      </c>
      <c r="J134" s="9" t="s">
        <v>1977</v>
      </c>
      <c r="K134" s="9" t="s">
        <v>3606</v>
      </c>
      <c r="L134" s="13" t="n">
        <v>2</v>
      </c>
      <c r="M134" s="13" t="s">
        <v>3607</v>
      </c>
      <c r="N134" s="13" t="s">
        <v>3608</v>
      </c>
      <c r="O134" s="13" t="s">
        <v>3609</v>
      </c>
      <c r="P134" s="13" t="s">
        <v>3610</v>
      </c>
      <c r="Q134" s="13" t="s">
        <v>3611</v>
      </c>
      <c r="R134" s="13" t="s">
        <v>3612</v>
      </c>
      <c r="S134" s="13" t="s">
        <v>3613</v>
      </c>
      <c r="T134" s="13" t="s">
        <v>3614</v>
      </c>
      <c r="U134" s="13" t="s">
        <v>3615</v>
      </c>
      <c r="V134" s="13" t="s">
        <v>3616</v>
      </c>
      <c r="W134" s="13" t="s">
        <v>3617</v>
      </c>
      <c r="X134" s="13" t="s">
        <v>3618</v>
      </c>
      <c r="Y134" s="13" t="s">
        <v>3619</v>
      </c>
      <c r="Z134" s="14"/>
    </row>
    <row r="135" customFormat="false" ht="45.75" hidden="false" customHeight="true" outlineLevel="0" collapsed="false">
      <c r="A135" s="9" t="s">
        <v>3620</v>
      </c>
      <c r="B135" s="9" t="s">
        <v>210</v>
      </c>
      <c r="C135" s="9" t="s">
        <v>1750</v>
      </c>
      <c r="D135" s="9" t="s">
        <v>3621</v>
      </c>
      <c r="E135" s="9" t="s">
        <v>1137</v>
      </c>
      <c r="F135" s="9" t="s">
        <v>2002</v>
      </c>
      <c r="G135" s="15" t="n">
        <v>400</v>
      </c>
      <c r="H135" s="9" t="s">
        <v>110</v>
      </c>
      <c r="I135" s="9" t="s">
        <v>2026</v>
      </c>
      <c r="J135" s="9" t="s">
        <v>1977</v>
      </c>
      <c r="K135" s="9"/>
      <c r="L135" s="13" t="n">
        <v>2</v>
      </c>
      <c r="M135" s="13" t="s">
        <v>3622</v>
      </c>
      <c r="N135" s="13" t="s">
        <v>3623</v>
      </c>
      <c r="O135" s="13" t="s">
        <v>3624</v>
      </c>
      <c r="P135" s="13" t="s">
        <v>3625</v>
      </c>
      <c r="Q135" s="13" t="s">
        <v>3626</v>
      </c>
      <c r="R135" s="13" t="s">
        <v>3627</v>
      </c>
      <c r="S135" s="13" t="s">
        <v>3628</v>
      </c>
      <c r="T135" s="13" t="s">
        <v>3629</v>
      </c>
      <c r="U135" s="13" t="s">
        <v>3630</v>
      </c>
      <c r="V135" s="13" t="s">
        <v>3631</v>
      </c>
      <c r="W135" s="13" t="s">
        <v>3604</v>
      </c>
      <c r="X135" s="13"/>
      <c r="Y135" s="13"/>
      <c r="Z135" s="14"/>
    </row>
    <row r="136" customFormat="false" ht="45.75" hidden="false" customHeight="true" outlineLevel="0" collapsed="false">
      <c r="A136" s="9" t="s">
        <v>3632</v>
      </c>
      <c r="B136" s="9" t="s">
        <v>210</v>
      </c>
      <c r="C136" s="9" t="s">
        <v>1750</v>
      </c>
      <c r="D136" s="9" t="s">
        <v>3633</v>
      </c>
      <c r="E136" s="9" t="s">
        <v>1135</v>
      </c>
      <c r="F136" s="9" t="s">
        <v>1976</v>
      </c>
      <c r="G136" s="15" t="n">
        <v>1200</v>
      </c>
      <c r="H136" s="9" t="s">
        <v>110</v>
      </c>
      <c r="I136" s="9" t="s">
        <v>2026</v>
      </c>
      <c r="J136" s="9" t="s">
        <v>1977</v>
      </c>
      <c r="K136" s="9"/>
      <c r="L136" s="13" t="n">
        <v>2</v>
      </c>
      <c r="M136" s="13" t="s">
        <v>3634</v>
      </c>
      <c r="N136" s="13" t="s">
        <v>3635</v>
      </c>
      <c r="O136" s="13" t="s">
        <v>3636</v>
      </c>
      <c r="P136" s="13" t="s">
        <v>3637</v>
      </c>
      <c r="Q136" s="13" t="s">
        <v>3638</v>
      </c>
      <c r="R136" s="13" t="s">
        <v>3639</v>
      </c>
      <c r="S136" s="13" t="s">
        <v>3640</v>
      </c>
      <c r="T136" s="13" t="s">
        <v>3641</v>
      </c>
      <c r="U136" s="13" t="s">
        <v>3642</v>
      </c>
      <c r="V136" s="13" t="s">
        <v>3643</v>
      </c>
      <c r="W136" s="13" t="s">
        <v>3644</v>
      </c>
      <c r="X136" s="13" t="s">
        <v>3645</v>
      </c>
      <c r="Y136" s="13" t="s">
        <v>3646</v>
      </c>
      <c r="Z136" s="14"/>
    </row>
    <row r="137" customFormat="false" ht="45.75" hidden="false" customHeight="true" outlineLevel="0" collapsed="false">
      <c r="A137" s="9" t="s">
        <v>3647</v>
      </c>
      <c r="B137" s="9" t="s">
        <v>210</v>
      </c>
      <c r="C137" s="9" t="s">
        <v>1750</v>
      </c>
      <c r="D137" s="9" t="s">
        <v>3648</v>
      </c>
      <c r="E137" s="9" t="s">
        <v>1140</v>
      </c>
      <c r="F137" s="9" t="s">
        <v>2002</v>
      </c>
      <c r="G137" s="15" t="n">
        <v>200</v>
      </c>
      <c r="H137" s="9" t="s">
        <v>110</v>
      </c>
      <c r="I137" s="9" t="s">
        <v>2026</v>
      </c>
      <c r="J137" s="9" t="s">
        <v>1977</v>
      </c>
      <c r="K137" s="9"/>
      <c r="L137" s="13" t="n">
        <v>2</v>
      </c>
      <c r="M137" s="13" t="s">
        <v>3649</v>
      </c>
      <c r="N137" s="13" t="s">
        <v>3650</v>
      </c>
      <c r="O137" s="13" t="s">
        <v>3651</v>
      </c>
      <c r="P137" s="13" t="s">
        <v>3652</v>
      </c>
      <c r="Q137" s="13" t="s">
        <v>3653</v>
      </c>
      <c r="R137" s="13" t="s">
        <v>3654</v>
      </c>
      <c r="S137" s="13" t="s">
        <v>3655</v>
      </c>
      <c r="T137" s="13" t="s">
        <v>3656</v>
      </c>
      <c r="U137" s="13" t="s">
        <v>2139</v>
      </c>
      <c r="V137" s="13" t="s">
        <v>2128</v>
      </c>
      <c r="W137" s="13" t="s">
        <v>3657</v>
      </c>
      <c r="X137" s="13"/>
      <c r="Y137" s="13"/>
      <c r="Z137" s="14"/>
    </row>
    <row r="138" customFormat="false" ht="57" hidden="false" customHeight="true" outlineLevel="0" collapsed="false">
      <c r="A138" s="9" t="s">
        <v>3658</v>
      </c>
      <c r="B138" s="9" t="s">
        <v>210</v>
      </c>
      <c r="C138" s="9" t="s">
        <v>1750</v>
      </c>
      <c r="D138" s="9" t="s">
        <v>3659</v>
      </c>
      <c r="E138" s="9" t="s">
        <v>1138</v>
      </c>
      <c r="F138" s="9" t="s">
        <v>2002</v>
      </c>
      <c r="G138" s="15" t="n">
        <v>400</v>
      </c>
      <c r="H138" s="9" t="s">
        <v>110</v>
      </c>
      <c r="I138" s="9" t="s">
        <v>2026</v>
      </c>
      <c r="J138" s="9" t="s">
        <v>1977</v>
      </c>
      <c r="K138" s="9" t="s">
        <v>3660</v>
      </c>
      <c r="L138" s="13" t="n">
        <v>2</v>
      </c>
      <c r="M138" s="13" t="s">
        <v>3661</v>
      </c>
      <c r="N138" s="13" t="s">
        <v>3662</v>
      </c>
      <c r="O138" s="13" t="s">
        <v>3663</v>
      </c>
      <c r="P138" s="13" t="s">
        <v>3664</v>
      </c>
      <c r="Q138" s="13" t="s">
        <v>3665</v>
      </c>
      <c r="R138" s="13" t="s">
        <v>3666</v>
      </c>
      <c r="S138" s="13" t="s">
        <v>3667</v>
      </c>
      <c r="T138" s="13" t="s">
        <v>3668</v>
      </c>
      <c r="U138" s="13" t="s">
        <v>3669</v>
      </c>
      <c r="V138" s="13" t="s">
        <v>3670</v>
      </c>
      <c r="W138" s="13" t="s">
        <v>3671</v>
      </c>
      <c r="X138" s="13"/>
      <c r="Y138" s="13"/>
      <c r="Z138" s="14"/>
    </row>
    <row r="139" customFormat="false" ht="45.75" hidden="false" customHeight="true" outlineLevel="0" collapsed="false">
      <c r="A139" s="9" t="s">
        <v>3672</v>
      </c>
      <c r="B139" s="9" t="s">
        <v>210</v>
      </c>
      <c r="C139" s="9" t="s">
        <v>1750</v>
      </c>
      <c r="D139" s="9" t="s">
        <v>3673</v>
      </c>
      <c r="E139" s="9" t="s">
        <v>1139</v>
      </c>
      <c r="F139" s="9" t="s">
        <v>2002</v>
      </c>
      <c r="G139" s="15" t="n">
        <v>0</v>
      </c>
      <c r="H139" s="9" t="s">
        <v>110</v>
      </c>
      <c r="I139" s="9" t="s">
        <v>2026</v>
      </c>
      <c r="J139" s="9" t="s">
        <v>1977</v>
      </c>
      <c r="K139" s="9"/>
      <c r="L139" s="13" t="n">
        <v>2</v>
      </c>
      <c r="M139" s="13" t="s">
        <v>3674</v>
      </c>
      <c r="N139" s="13" t="s">
        <v>3675</v>
      </c>
      <c r="O139" s="13" t="s">
        <v>3676</v>
      </c>
      <c r="P139" s="13" t="s">
        <v>2145</v>
      </c>
      <c r="Q139" s="13" t="s">
        <v>3434</v>
      </c>
      <c r="R139" s="13" t="s">
        <v>3677</v>
      </c>
      <c r="S139" s="13" t="s">
        <v>3678</v>
      </c>
      <c r="T139" s="13" t="s">
        <v>3679</v>
      </c>
      <c r="U139" s="13" t="s">
        <v>2422</v>
      </c>
      <c r="V139" s="13" t="s">
        <v>2128</v>
      </c>
      <c r="W139" s="13"/>
      <c r="X139" s="13"/>
      <c r="Y139" s="13"/>
      <c r="Z139" s="14"/>
    </row>
    <row r="140" customFormat="false" ht="45.75" hidden="false" customHeight="true" outlineLevel="0" collapsed="false">
      <c r="A140" s="9" t="s">
        <v>3680</v>
      </c>
      <c r="B140" s="9" t="s">
        <v>210</v>
      </c>
      <c r="C140" s="9" t="s">
        <v>1750</v>
      </c>
      <c r="D140" s="9" t="s">
        <v>3681</v>
      </c>
      <c r="E140" s="9" t="s">
        <v>1137</v>
      </c>
      <c r="F140" s="9" t="s">
        <v>1976</v>
      </c>
      <c r="G140" s="15" t="n">
        <v>1000</v>
      </c>
      <c r="H140" s="9" t="s">
        <v>110</v>
      </c>
      <c r="I140" s="9" t="s">
        <v>417</v>
      </c>
      <c r="J140" s="9" t="s">
        <v>1977</v>
      </c>
      <c r="K140" s="9"/>
      <c r="L140" s="13" t="n">
        <v>3</v>
      </c>
      <c r="M140" s="13" t="s">
        <v>3682</v>
      </c>
      <c r="N140" s="13" t="s">
        <v>3683</v>
      </c>
      <c r="O140" s="13" t="s">
        <v>3684</v>
      </c>
      <c r="P140" s="13" t="s">
        <v>3685</v>
      </c>
      <c r="Q140" s="13" t="s">
        <v>3686</v>
      </c>
      <c r="R140" s="13" t="s">
        <v>3687</v>
      </c>
      <c r="S140" s="13" t="s">
        <v>3688</v>
      </c>
      <c r="T140" s="13" t="s">
        <v>2269</v>
      </c>
      <c r="U140" s="13" t="s">
        <v>3630</v>
      </c>
      <c r="V140" s="13" t="s">
        <v>3689</v>
      </c>
      <c r="W140" s="13" t="s">
        <v>3690</v>
      </c>
      <c r="X140" s="13" t="s">
        <v>3691</v>
      </c>
      <c r="Y140" s="13" t="s">
        <v>3692</v>
      </c>
      <c r="Z140" s="14"/>
    </row>
    <row r="141" customFormat="false" ht="45.75" hidden="false" customHeight="true" outlineLevel="0" collapsed="false">
      <c r="A141" s="9" t="s">
        <v>3693</v>
      </c>
      <c r="B141" s="9" t="s">
        <v>210</v>
      </c>
      <c r="C141" s="9" t="s">
        <v>1750</v>
      </c>
      <c r="D141" s="9" t="s">
        <v>3694</v>
      </c>
      <c r="E141" s="9" t="s">
        <v>1133</v>
      </c>
      <c r="F141" s="9" t="s">
        <v>1976</v>
      </c>
      <c r="G141" s="15" t="n">
        <v>1500</v>
      </c>
      <c r="H141" s="9" t="s">
        <v>110</v>
      </c>
      <c r="I141" s="9" t="s">
        <v>417</v>
      </c>
      <c r="J141" s="9" t="s">
        <v>1977</v>
      </c>
      <c r="K141" s="9" t="s">
        <v>3695</v>
      </c>
      <c r="L141" s="13" t="n">
        <v>3</v>
      </c>
      <c r="M141" s="13" t="s">
        <v>3696</v>
      </c>
      <c r="N141" s="13" t="s">
        <v>3697</v>
      </c>
      <c r="O141" s="13" t="s">
        <v>3698</v>
      </c>
      <c r="P141" s="13" t="s">
        <v>3699</v>
      </c>
      <c r="Q141" s="13" t="s">
        <v>3700</v>
      </c>
      <c r="R141" s="13" t="s">
        <v>3701</v>
      </c>
      <c r="S141" s="13" t="s">
        <v>3702</v>
      </c>
      <c r="T141" s="13" t="s">
        <v>3703</v>
      </c>
      <c r="U141" s="13" t="s">
        <v>3704</v>
      </c>
      <c r="V141" s="13" t="s">
        <v>3705</v>
      </c>
      <c r="W141" s="13" t="s">
        <v>3680</v>
      </c>
      <c r="X141" s="13" t="s">
        <v>3706</v>
      </c>
      <c r="Y141" s="13" t="s">
        <v>3707</v>
      </c>
      <c r="Z141" s="14"/>
    </row>
    <row r="142" customFormat="false" ht="57" hidden="false" customHeight="true" outlineLevel="0" collapsed="false">
      <c r="A142" s="9" t="s">
        <v>3708</v>
      </c>
      <c r="B142" s="9" t="s">
        <v>210</v>
      </c>
      <c r="C142" s="9" t="s">
        <v>1750</v>
      </c>
      <c r="D142" s="9" t="s">
        <v>3709</v>
      </c>
      <c r="E142" s="9" t="s">
        <v>1138</v>
      </c>
      <c r="F142" s="9" t="s">
        <v>1976</v>
      </c>
      <c r="G142" s="15" t="n">
        <v>1500</v>
      </c>
      <c r="H142" s="9" t="s">
        <v>110</v>
      </c>
      <c r="I142" s="9" t="s">
        <v>417</v>
      </c>
      <c r="J142" s="9" t="s">
        <v>1977</v>
      </c>
      <c r="K142" s="9" t="s">
        <v>3710</v>
      </c>
      <c r="L142" s="13" t="n">
        <v>4</v>
      </c>
      <c r="M142" s="13" t="s">
        <v>3711</v>
      </c>
      <c r="N142" s="13" t="s">
        <v>3712</v>
      </c>
      <c r="O142" s="13" t="s">
        <v>3713</v>
      </c>
      <c r="P142" s="13" t="s">
        <v>3714</v>
      </c>
      <c r="Q142" s="13" t="s">
        <v>3715</v>
      </c>
      <c r="R142" s="13" t="s">
        <v>3716</v>
      </c>
      <c r="S142" s="13" t="s">
        <v>3717</v>
      </c>
      <c r="T142" s="13" t="s">
        <v>3718</v>
      </c>
      <c r="U142" s="13" t="s">
        <v>3719</v>
      </c>
      <c r="V142" s="13" t="s">
        <v>3720</v>
      </c>
      <c r="W142" s="13" t="s">
        <v>3693</v>
      </c>
      <c r="X142" s="13" t="s">
        <v>3721</v>
      </c>
      <c r="Y142" s="13" t="s">
        <v>3722</v>
      </c>
      <c r="Z142" s="14"/>
    </row>
    <row r="143" customFormat="false" ht="45.75" hidden="false" customHeight="true" outlineLevel="0" collapsed="false">
      <c r="A143" s="9" t="s">
        <v>3723</v>
      </c>
      <c r="B143" s="9" t="s">
        <v>227</v>
      </c>
      <c r="C143" s="9" t="s">
        <v>1762</v>
      </c>
      <c r="D143" s="9" t="s">
        <v>3724</v>
      </c>
      <c r="E143" s="9" t="s">
        <v>1134</v>
      </c>
      <c r="F143" s="9" t="s">
        <v>2002</v>
      </c>
      <c r="G143" s="15" t="n">
        <v>300</v>
      </c>
      <c r="H143" s="9" t="s">
        <v>110</v>
      </c>
      <c r="I143" s="9" t="s">
        <v>379</v>
      </c>
      <c r="J143" s="9" t="s">
        <v>1977</v>
      </c>
      <c r="K143" s="9"/>
      <c r="L143" s="13" t="n">
        <v>1</v>
      </c>
      <c r="M143" s="13" t="s">
        <v>3725</v>
      </c>
      <c r="N143" s="13" t="s">
        <v>3726</v>
      </c>
      <c r="O143" s="13" t="s">
        <v>3727</v>
      </c>
      <c r="P143" s="13" t="s">
        <v>3728</v>
      </c>
      <c r="Q143" s="13" t="s">
        <v>3729</v>
      </c>
      <c r="R143" s="13" t="s">
        <v>3586</v>
      </c>
      <c r="S143" s="13" t="s">
        <v>3730</v>
      </c>
      <c r="T143" s="13" t="s">
        <v>3731</v>
      </c>
      <c r="U143" s="13" t="s">
        <v>3732</v>
      </c>
      <c r="V143" s="13" t="s">
        <v>3733</v>
      </c>
      <c r="W143" s="13"/>
      <c r="X143" s="13"/>
      <c r="Y143" s="13"/>
      <c r="Z143" s="14"/>
    </row>
    <row r="144" customFormat="false" ht="57" hidden="false" customHeight="true" outlineLevel="0" collapsed="false">
      <c r="A144" s="9" t="s">
        <v>3734</v>
      </c>
      <c r="B144" s="9" t="s">
        <v>227</v>
      </c>
      <c r="C144" s="9" t="s">
        <v>1762</v>
      </c>
      <c r="D144" s="9" t="s">
        <v>3735</v>
      </c>
      <c r="E144" s="9" t="s">
        <v>1136</v>
      </c>
      <c r="F144" s="9" t="s">
        <v>1976</v>
      </c>
      <c r="G144" s="15" t="n">
        <v>1500</v>
      </c>
      <c r="H144" s="9" t="s">
        <v>110</v>
      </c>
      <c r="I144" s="9" t="s">
        <v>379</v>
      </c>
      <c r="J144" s="9" t="s">
        <v>1977</v>
      </c>
      <c r="K144" s="9"/>
      <c r="L144" s="13" t="n">
        <v>1</v>
      </c>
      <c r="M144" s="13" t="s">
        <v>3736</v>
      </c>
      <c r="N144" s="13" t="s">
        <v>3737</v>
      </c>
      <c r="O144" s="13" t="s">
        <v>3738</v>
      </c>
      <c r="P144" s="13" t="s">
        <v>3739</v>
      </c>
      <c r="Q144" s="13" t="s">
        <v>3740</v>
      </c>
      <c r="R144" s="13" t="s">
        <v>3741</v>
      </c>
      <c r="S144" s="13" t="s">
        <v>3742</v>
      </c>
      <c r="T144" s="13" t="s">
        <v>3743</v>
      </c>
      <c r="U144" s="13" t="s">
        <v>3744</v>
      </c>
      <c r="V144" s="13" t="s">
        <v>3745</v>
      </c>
      <c r="W144" s="13" t="s">
        <v>3723</v>
      </c>
      <c r="X144" s="13"/>
      <c r="Y144" s="13"/>
      <c r="Z144" s="14"/>
    </row>
    <row r="145" customFormat="false" ht="57" hidden="false" customHeight="true" outlineLevel="0" collapsed="false">
      <c r="A145" s="9" t="s">
        <v>3746</v>
      </c>
      <c r="B145" s="9" t="s">
        <v>227</v>
      </c>
      <c r="C145" s="9" t="s">
        <v>1762</v>
      </c>
      <c r="D145" s="9" t="s">
        <v>3747</v>
      </c>
      <c r="E145" s="9" t="s">
        <v>1140</v>
      </c>
      <c r="F145" s="9" t="s">
        <v>2002</v>
      </c>
      <c r="G145" s="15" t="n">
        <v>200</v>
      </c>
      <c r="H145" s="9" t="s">
        <v>110</v>
      </c>
      <c r="I145" s="9" t="s">
        <v>2026</v>
      </c>
      <c r="J145" s="9" t="s">
        <v>2842</v>
      </c>
      <c r="K145" s="9" t="s">
        <v>3748</v>
      </c>
      <c r="L145" s="13" t="n">
        <v>1</v>
      </c>
      <c r="M145" s="13" t="s">
        <v>3749</v>
      </c>
      <c r="N145" s="13" t="s">
        <v>3750</v>
      </c>
      <c r="O145" s="13" t="s">
        <v>3751</v>
      </c>
      <c r="P145" s="13" t="s">
        <v>3752</v>
      </c>
      <c r="Q145" s="13" t="s">
        <v>3753</v>
      </c>
      <c r="R145" s="13" t="s">
        <v>3754</v>
      </c>
      <c r="S145" s="13" t="s">
        <v>3755</v>
      </c>
      <c r="T145" s="13" t="s">
        <v>3756</v>
      </c>
      <c r="U145" s="13" t="s">
        <v>3757</v>
      </c>
      <c r="V145" s="13" t="s">
        <v>2128</v>
      </c>
      <c r="W145" s="13" t="s">
        <v>3734</v>
      </c>
      <c r="X145" s="13"/>
      <c r="Y145" s="13"/>
      <c r="Z145" s="14"/>
    </row>
    <row r="146" customFormat="false" ht="45.75" hidden="false" customHeight="true" outlineLevel="0" collapsed="false">
      <c r="A146" s="9" t="s">
        <v>3758</v>
      </c>
      <c r="B146" s="9" t="s">
        <v>227</v>
      </c>
      <c r="C146" s="9" t="s">
        <v>1762</v>
      </c>
      <c r="D146" s="9" t="s">
        <v>3759</v>
      </c>
      <c r="E146" s="9" t="s">
        <v>1137</v>
      </c>
      <c r="F146" s="9" t="s">
        <v>2002</v>
      </c>
      <c r="G146" s="15" t="n">
        <v>300</v>
      </c>
      <c r="H146" s="9" t="s">
        <v>110</v>
      </c>
      <c r="I146" s="9" t="s">
        <v>2026</v>
      </c>
      <c r="J146" s="9" t="s">
        <v>1977</v>
      </c>
      <c r="K146" s="9"/>
      <c r="L146" s="13" t="n">
        <v>1</v>
      </c>
      <c r="M146" s="13" t="s">
        <v>3760</v>
      </c>
      <c r="N146" s="13" t="s">
        <v>3761</v>
      </c>
      <c r="O146" s="13" t="s">
        <v>3762</v>
      </c>
      <c r="P146" s="13" t="s">
        <v>3763</v>
      </c>
      <c r="Q146" s="13" t="s">
        <v>3764</v>
      </c>
      <c r="R146" s="13" t="s">
        <v>2877</v>
      </c>
      <c r="S146" s="13" t="s">
        <v>3765</v>
      </c>
      <c r="T146" s="13" t="s">
        <v>3766</v>
      </c>
      <c r="U146" s="13" t="s">
        <v>3767</v>
      </c>
      <c r="V146" s="13" t="s">
        <v>3768</v>
      </c>
      <c r="W146" s="13" t="s">
        <v>3746</v>
      </c>
      <c r="X146" s="13" t="s">
        <v>3769</v>
      </c>
      <c r="Y146" s="13" t="s">
        <v>3770</v>
      </c>
      <c r="Z146" s="14"/>
    </row>
    <row r="147" customFormat="false" ht="57" hidden="false" customHeight="true" outlineLevel="0" collapsed="false">
      <c r="A147" s="9" t="s">
        <v>3771</v>
      </c>
      <c r="B147" s="9" t="s">
        <v>227</v>
      </c>
      <c r="C147" s="9" t="s">
        <v>1762</v>
      </c>
      <c r="D147" s="9" t="s">
        <v>3772</v>
      </c>
      <c r="E147" s="9" t="s">
        <v>1135</v>
      </c>
      <c r="F147" s="9" t="s">
        <v>1976</v>
      </c>
      <c r="G147" s="15" t="n">
        <v>1200</v>
      </c>
      <c r="H147" s="9" t="s">
        <v>110</v>
      </c>
      <c r="I147" s="9" t="s">
        <v>2026</v>
      </c>
      <c r="J147" s="9" t="s">
        <v>1977</v>
      </c>
      <c r="K147" s="9"/>
      <c r="L147" s="13" t="n">
        <v>1</v>
      </c>
      <c r="M147" s="13" t="s">
        <v>3773</v>
      </c>
      <c r="N147" s="13" t="s">
        <v>3774</v>
      </c>
      <c r="O147" s="13" t="s">
        <v>3775</v>
      </c>
      <c r="P147" s="13" t="s">
        <v>3776</v>
      </c>
      <c r="Q147" s="13" t="s">
        <v>3777</v>
      </c>
      <c r="R147" s="13" t="s">
        <v>3778</v>
      </c>
      <c r="S147" s="13" t="s">
        <v>3779</v>
      </c>
      <c r="T147" s="13" t="s">
        <v>3780</v>
      </c>
      <c r="U147" s="13" t="s">
        <v>3781</v>
      </c>
      <c r="V147" s="13" t="s">
        <v>3782</v>
      </c>
      <c r="W147" s="13" t="s">
        <v>3758</v>
      </c>
      <c r="X147" s="13" t="s">
        <v>3783</v>
      </c>
      <c r="Y147" s="13" t="s">
        <v>3784</v>
      </c>
      <c r="Z147" s="14"/>
    </row>
    <row r="148" customFormat="false" ht="45.75" hidden="false" customHeight="true" outlineLevel="0" collapsed="false">
      <c r="A148" s="9" t="s">
        <v>3785</v>
      </c>
      <c r="B148" s="9" t="s">
        <v>227</v>
      </c>
      <c r="C148" s="9" t="s">
        <v>1762</v>
      </c>
      <c r="D148" s="9" t="s">
        <v>3786</v>
      </c>
      <c r="E148" s="9" t="s">
        <v>1140</v>
      </c>
      <c r="F148" s="9" t="s">
        <v>2002</v>
      </c>
      <c r="G148" s="15" t="n">
        <v>300</v>
      </c>
      <c r="H148" s="9" t="s">
        <v>110</v>
      </c>
      <c r="I148" s="9" t="s">
        <v>2026</v>
      </c>
      <c r="J148" s="9" t="s">
        <v>2842</v>
      </c>
      <c r="K148" s="9" t="s">
        <v>3787</v>
      </c>
      <c r="L148" s="13" t="n">
        <v>1</v>
      </c>
      <c r="M148" s="13" t="s">
        <v>3788</v>
      </c>
      <c r="N148" s="13" t="s">
        <v>3789</v>
      </c>
      <c r="O148" s="13" t="s">
        <v>3790</v>
      </c>
      <c r="P148" s="13" t="s">
        <v>3791</v>
      </c>
      <c r="Q148" s="13" t="s">
        <v>3792</v>
      </c>
      <c r="R148" s="13" t="s">
        <v>3793</v>
      </c>
      <c r="S148" s="13" t="s">
        <v>3794</v>
      </c>
      <c r="T148" s="13" t="s">
        <v>3795</v>
      </c>
      <c r="U148" s="13" t="s">
        <v>2139</v>
      </c>
      <c r="V148" s="13" t="s">
        <v>2128</v>
      </c>
      <c r="W148" s="13" t="s">
        <v>3758</v>
      </c>
      <c r="X148" s="13"/>
      <c r="Y148" s="13"/>
      <c r="Z148" s="14"/>
    </row>
    <row r="149" customFormat="false" ht="45.75" hidden="false" customHeight="true" outlineLevel="0" collapsed="false">
      <c r="A149" s="9" t="s">
        <v>3796</v>
      </c>
      <c r="B149" s="9" t="s">
        <v>227</v>
      </c>
      <c r="C149" s="9" t="s">
        <v>1762</v>
      </c>
      <c r="D149" s="9" t="s">
        <v>3797</v>
      </c>
      <c r="E149" s="9" t="s">
        <v>1136</v>
      </c>
      <c r="F149" s="9" t="s">
        <v>1976</v>
      </c>
      <c r="G149" s="15" t="n">
        <v>1500</v>
      </c>
      <c r="H149" s="9" t="s">
        <v>110</v>
      </c>
      <c r="I149" s="9" t="s">
        <v>2026</v>
      </c>
      <c r="J149" s="9" t="s">
        <v>1977</v>
      </c>
      <c r="K149" s="9"/>
      <c r="L149" s="13" t="n">
        <v>1</v>
      </c>
      <c r="M149" s="13" t="s">
        <v>3798</v>
      </c>
      <c r="N149" s="13" t="s">
        <v>3799</v>
      </c>
      <c r="O149" s="13" t="s">
        <v>3800</v>
      </c>
      <c r="P149" s="13" t="s">
        <v>3801</v>
      </c>
      <c r="Q149" s="13" t="s">
        <v>3802</v>
      </c>
      <c r="R149" s="13" t="s">
        <v>3803</v>
      </c>
      <c r="S149" s="13" t="s">
        <v>3804</v>
      </c>
      <c r="T149" s="13" t="s">
        <v>3805</v>
      </c>
      <c r="U149" s="13" t="s">
        <v>3806</v>
      </c>
      <c r="V149" s="13" t="s">
        <v>3807</v>
      </c>
      <c r="W149" s="13" t="s">
        <v>3758</v>
      </c>
      <c r="X149" s="13" t="s">
        <v>3808</v>
      </c>
      <c r="Y149" s="13" t="s">
        <v>3809</v>
      </c>
      <c r="Z149" s="14"/>
    </row>
    <row r="150" customFormat="false" ht="45.75" hidden="false" customHeight="true" outlineLevel="0" collapsed="false">
      <c r="A150" s="9" t="s">
        <v>3810</v>
      </c>
      <c r="B150" s="9" t="s">
        <v>227</v>
      </c>
      <c r="C150" s="9" t="s">
        <v>1762</v>
      </c>
      <c r="D150" s="9" t="s">
        <v>3811</v>
      </c>
      <c r="E150" s="9" t="s">
        <v>1133</v>
      </c>
      <c r="F150" s="9" t="s">
        <v>1976</v>
      </c>
      <c r="G150" s="15" t="n">
        <v>1500</v>
      </c>
      <c r="H150" s="9" t="s">
        <v>110</v>
      </c>
      <c r="I150" s="9" t="s">
        <v>2026</v>
      </c>
      <c r="J150" s="9" t="s">
        <v>1977</v>
      </c>
      <c r="K150" s="9"/>
      <c r="L150" s="13" t="n">
        <v>1</v>
      </c>
      <c r="M150" s="13" t="s">
        <v>3812</v>
      </c>
      <c r="N150" s="13" t="s">
        <v>3813</v>
      </c>
      <c r="O150" s="13" t="s">
        <v>3814</v>
      </c>
      <c r="P150" s="13" t="s">
        <v>3815</v>
      </c>
      <c r="Q150" s="13" t="s">
        <v>3816</v>
      </c>
      <c r="R150" s="13" t="s">
        <v>3817</v>
      </c>
      <c r="S150" s="13" t="s">
        <v>3818</v>
      </c>
      <c r="T150" s="13" t="s">
        <v>3819</v>
      </c>
      <c r="U150" s="13" t="s">
        <v>3820</v>
      </c>
      <c r="V150" s="13" t="s">
        <v>3821</v>
      </c>
      <c r="W150" s="13" t="s">
        <v>3822</v>
      </c>
      <c r="X150" s="13"/>
      <c r="Y150" s="13"/>
      <c r="Z150" s="14"/>
    </row>
    <row r="151" customFormat="false" ht="45.75" hidden="false" customHeight="true" outlineLevel="0" collapsed="false">
      <c r="A151" s="9" t="s">
        <v>3823</v>
      </c>
      <c r="B151" s="9" t="s">
        <v>227</v>
      </c>
      <c r="C151" s="9" t="s">
        <v>1762</v>
      </c>
      <c r="D151" s="9" t="s">
        <v>3824</v>
      </c>
      <c r="E151" s="9" t="s">
        <v>1134</v>
      </c>
      <c r="F151" s="9" t="s">
        <v>2002</v>
      </c>
      <c r="G151" s="15" t="n">
        <v>400</v>
      </c>
      <c r="H151" s="9" t="s">
        <v>110</v>
      </c>
      <c r="I151" s="9" t="s">
        <v>2026</v>
      </c>
      <c r="J151" s="9" t="s">
        <v>1977</v>
      </c>
      <c r="K151" s="9"/>
      <c r="L151" s="13" t="n">
        <v>1</v>
      </c>
      <c r="M151" s="13" t="s">
        <v>3825</v>
      </c>
      <c r="N151" s="13" t="s">
        <v>3826</v>
      </c>
      <c r="O151" s="13" t="s">
        <v>3827</v>
      </c>
      <c r="P151" s="13" t="s">
        <v>3828</v>
      </c>
      <c r="Q151" s="13" t="s">
        <v>3829</v>
      </c>
      <c r="R151" s="13" t="s">
        <v>3830</v>
      </c>
      <c r="S151" s="13" t="s">
        <v>3831</v>
      </c>
      <c r="T151" s="13" t="s">
        <v>3832</v>
      </c>
      <c r="U151" s="13" t="s">
        <v>3833</v>
      </c>
      <c r="V151" s="13" t="s">
        <v>3733</v>
      </c>
      <c r="W151" s="13" t="s">
        <v>3758</v>
      </c>
      <c r="X151" s="13"/>
      <c r="Y151" s="13"/>
      <c r="Z151" s="14"/>
    </row>
    <row r="152" customFormat="false" ht="45.75" hidden="false" customHeight="true" outlineLevel="0" collapsed="false">
      <c r="A152" s="9" t="s">
        <v>3834</v>
      </c>
      <c r="B152" s="9" t="s">
        <v>227</v>
      </c>
      <c r="C152" s="9" t="s">
        <v>1762</v>
      </c>
      <c r="D152" s="9" t="s">
        <v>3835</v>
      </c>
      <c r="E152" s="9" t="s">
        <v>1138</v>
      </c>
      <c r="F152" s="9" t="s">
        <v>2002</v>
      </c>
      <c r="G152" s="15" t="n">
        <v>500</v>
      </c>
      <c r="H152" s="9" t="s">
        <v>110</v>
      </c>
      <c r="I152" s="9" t="s">
        <v>2026</v>
      </c>
      <c r="J152" s="9" t="s">
        <v>1977</v>
      </c>
      <c r="K152" s="9" t="s">
        <v>3836</v>
      </c>
      <c r="L152" s="13" t="n">
        <v>1</v>
      </c>
      <c r="M152" s="13" t="s">
        <v>3837</v>
      </c>
      <c r="N152" s="13" t="s">
        <v>3838</v>
      </c>
      <c r="O152" s="13" t="s">
        <v>3839</v>
      </c>
      <c r="P152" s="13" t="s">
        <v>3840</v>
      </c>
      <c r="Q152" s="13" t="s">
        <v>3841</v>
      </c>
      <c r="R152" s="13" t="s">
        <v>3842</v>
      </c>
      <c r="S152" s="13" t="s">
        <v>2727</v>
      </c>
      <c r="T152" s="13" t="s">
        <v>3843</v>
      </c>
      <c r="U152" s="13" t="s">
        <v>2139</v>
      </c>
      <c r="V152" s="13" t="s">
        <v>3844</v>
      </c>
      <c r="W152" s="13" t="s">
        <v>3734</v>
      </c>
      <c r="X152" s="13"/>
      <c r="Y152" s="13"/>
      <c r="Z152" s="14"/>
    </row>
    <row r="153" customFormat="false" ht="45.75" hidden="false" customHeight="true" outlineLevel="0" collapsed="false">
      <c r="A153" s="9" t="s">
        <v>3845</v>
      </c>
      <c r="B153" s="9" t="s">
        <v>227</v>
      </c>
      <c r="C153" s="9" t="s">
        <v>1762</v>
      </c>
      <c r="D153" s="9" t="s">
        <v>3846</v>
      </c>
      <c r="E153" s="9" t="s">
        <v>1139</v>
      </c>
      <c r="F153" s="9" t="s">
        <v>2002</v>
      </c>
      <c r="G153" s="15" t="n">
        <v>0</v>
      </c>
      <c r="H153" s="9" t="s">
        <v>110</v>
      </c>
      <c r="I153" s="9" t="s">
        <v>2026</v>
      </c>
      <c r="J153" s="9" t="s">
        <v>1977</v>
      </c>
      <c r="K153" s="9"/>
      <c r="L153" s="13" t="n">
        <v>1</v>
      </c>
      <c r="M153" s="13" t="s">
        <v>3847</v>
      </c>
      <c r="N153" s="13" t="s">
        <v>3848</v>
      </c>
      <c r="O153" s="13" t="s">
        <v>3849</v>
      </c>
      <c r="P153" s="13" t="s">
        <v>2145</v>
      </c>
      <c r="Q153" s="13" t="s">
        <v>3434</v>
      </c>
      <c r="R153" s="13" t="s">
        <v>3677</v>
      </c>
      <c r="S153" s="13" t="s">
        <v>3850</v>
      </c>
      <c r="T153" s="13" t="s">
        <v>3679</v>
      </c>
      <c r="U153" s="13" t="s">
        <v>2422</v>
      </c>
      <c r="V153" s="13" t="s">
        <v>2128</v>
      </c>
      <c r="W153" s="13"/>
      <c r="X153" s="13"/>
      <c r="Y153" s="13"/>
      <c r="Z153" s="14"/>
    </row>
    <row r="154" customFormat="false" ht="45.75" hidden="false" customHeight="true" outlineLevel="0" collapsed="false">
      <c r="A154" s="9" t="s">
        <v>3851</v>
      </c>
      <c r="B154" s="9" t="s">
        <v>227</v>
      </c>
      <c r="C154" s="9" t="s">
        <v>1762</v>
      </c>
      <c r="D154" s="9" t="s">
        <v>3852</v>
      </c>
      <c r="E154" s="9" t="s">
        <v>1136</v>
      </c>
      <c r="F154" s="9" t="s">
        <v>1976</v>
      </c>
      <c r="G154" s="15" t="n">
        <v>1800</v>
      </c>
      <c r="H154" s="9" t="s">
        <v>110</v>
      </c>
      <c r="I154" s="9" t="s">
        <v>417</v>
      </c>
      <c r="J154" s="9" t="s">
        <v>1977</v>
      </c>
      <c r="K154" s="9"/>
      <c r="L154" s="13" t="n">
        <v>2</v>
      </c>
      <c r="M154" s="13" t="s">
        <v>3853</v>
      </c>
      <c r="N154" s="13" t="s">
        <v>3854</v>
      </c>
      <c r="O154" s="13" t="s">
        <v>3855</v>
      </c>
      <c r="P154" s="13" t="s">
        <v>3856</v>
      </c>
      <c r="Q154" s="13" t="s">
        <v>3857</v>
      </c>
      <c r="R154" s="13" t="s">
        <v>3858</v>
      </c>
      <c r="S154" s="13" t="s">
        <v>3859</v>
      </c>
      <c r="T154" s="13" t="s">
        <v>3860</v>
      </c>
      <c r="U154" s="13" t="s">
        <v>3861</v>
      </c>
      <c r="V154" s="13" t="s">
        <v>3862</v>
      </c>
      <c r="W154" s="13" t="s">
        <v>3771</v>
      </c>
      <c r="X154" s="13"/>
      <c r="Y154" s="13"/>
      <c r="Z154" s="14"/>
    </row>
    <row r="155" customFormat="false" ht="45.75" hidden="false" customHeight="true" outlineLevel="0" collapsed="false">
      <c r="A155" s="9" t="s">
        <v>3863</v>
      </c>
      <c r="B155" s="9" t="s">
        <v>227</v>
      </c>
      <c r="C155" s="9" t="s">
        <v>1762</v>
      </c>
      <c r="D155" s="9" t="s">
        <v>3864</v>
      </c>
      <c r="E155" s="9" t="s">
        <v>1140</v>
      </c>
      <c r="F155" s="9" t="s">
        <v>2002</v>
      </c>
      <c r="G155" s="15" t="n">
        <v>300</v>
      </c>
      <c r="H155" s="9" t="s">
        <v>110</v>
      </c>
      <c r="I155" s="9" t="s">
        <v>417</v>
      </c>
      <c r="J155" s="9" t="s">
        <v>1977</v>
      </c>
      <c r="K155" s="9"/>
      <c r="L155" s="13" t="n">
        <v>2</v>
      </c>
      <c r="M155" s="13" t="s">
        <v>3865</v>
      </c>
      <c r="N155" s="13" t="s">
        <v>3866</v>
      </c>
      <c r="O155" s="13" t="s">
        <v>3867</v>
      </c>
      <c r="P155" s="13" t="s">
        <v>3868</v>
      </c>
      <c r="Q155" s="13" t="s">
        <v>3869</v>
      </c>
      <c r="R155" s="13" t="s">
        <v>3870</v>
      </c>
      <c r="S155" s="13" t="s">
        <v>3871</v>
      </c>
      <c r="T155" s="13" t="s">
        <v>3872</v>
      </c>
      <c r="U155" s="13" t="s">
        <v>3873</v>
      </c>
      <c r="V155" s="13" t="s">
        <v>2128</v>
      </c>
      <c r="W155" s="13" t="s">
        <v>3851</v>
      </c>
      <c r="X155" s="13" t="s">
        <v>3874</v>
      </c>
      <c r="Y155" s="13" t="s">
        <v>3875</v>
      </c>
      <c r="Z155" s="14"/>
    </row>
    <row r="156" customFormat="false" ht="45.75" hidden="false" customHeight="true" outlineLevel="0" collapsed="false">
      <c r="A156" s="9" t="s">
        <v>3876</v>
      </c>
      <c r="B156" s="9" t="s">
        <v>227</v>
      </c>
      <c r="C156" s="9" t="s">
        <v>1762</v>
      </c>
      <c r="D156" s="9" t="s">
        <v>3877</v>
      </c>
      <c r="E156" s="9" t="s">
        <v>1133</v>
      </c>
      <c r="F156" s="9" t="s">
        <v>2002</v>
      </c>
      <c r="G156" s="15" t="n">
        <v>400</v>
      </c>
      <c r="H156" s="9" t="s">
        <v>110</v>
      </c>
      <c r="I156" s="9" t="s">
        <v>417</v>
      </c>
      <c r="J156" s="9" t="s">
        <v>1977</v>
      </c>
      <c r="K156" s="9"/>
      <c r="L156" s="13" t="n">
        <v>3</v>
      </c>
      <c r="M156" s="13" t="s">
        <v>3878</v>
      </c>
      <c r="N156" s="13" t="s">
        <v>3879</v>
      </c>
      <c r="O156" s="13" t="s">
        <v>3880</v>
      </c>
      <c r="P156" s="13" t="s">
        <v>3881</v>
      </c>
      <c r="Q156" s="13" t="s">
        <v>3882</v>
      </c>
      <c r="R156" s="13" t="s">
        <v>3883</v>
      </c>
      <c r="S156" s="13" t="s">
        <v>3884</v>
      </c>
      <c r="T156" s="13" t="s">
        <v>3885</v>
      </c>
      <c r="U156" s="13" t="s">
        <v>3886</v>
      </c>
      <c r="V156" s="13" t="s">
        <v>3887</v>
      </c>
      <c r="W156" s="13" t="s">
        <v>3863</v>
      </c>
      <c r="X156" s="13"/>
      <c r="Y156" s="13"/>
      <c r="Z156" s="14"/>
    </row>
    <row r="157" customFormat="false" ht="45.75" hidden="false" customHeight="true" outlineLevel="0" collapsed="false">
      <c r="A157" s="9" t="s">
        <v>3888</v>
      </c>
      <c r="B157" s="9" t="s">
        <v>227</v>
      </c>
      <c r="C157" s="9" t="s">
        <v>1762</v>
      </c>
      <c r="D157" s="9" t="s">
        <v>3889</v>
      </c>
      <c r="E157" s="9" t="s">
        <v>1138</v>
      </c>
      <c r="F157" s="9" t="s">
        <v>1976</v>
      </c>
      <c r="G157" s="15" t="n">
        <v>1200</v>
      </c>
      <c r="H157" s="9" t="s">
        <v>110</v>
      </c>
      <c r="I157" s="9" t="s">
        <v>417</v>
      </c>
      <c r="J157" s="9" t="s">
        <v>2842</v>
      </c>
      <c r="K157" s="9" t="s">
        <v>3890</v>
      </c>
      <c r="L157" s="13" t="n">
        <v>3</v>
      </c>
      <c r="M157" s="13" t="s">
        <v>3891</v>
      </c>
      <c r="N157" s="13" t="s">
        <v>3892</v>
      </c>
      <c r="O157" s="13" t="s">
        <v>3893</v>
      </c>
      <c r="P157" s="13" t="s">
        <v>3894</v>
      </c>
      <c r="Q157" s="13" t="s">
        <v>3895</v>
      </c>
      <c r="R157" s="13" t="s">
        <v>3896</v>
      </c>
      <c r="S157" s="13" t="s">
        <v>3897</v>
      </c>
      <c r="T157" s="13" t="s">
        <v>3898</v>
      </c>
      <c r="U157" s="13" t="s">
        <v>3899</v>
      </c>
      <c r="V157" s="13" t="s">
        <v>3900</v>
      </c>
      <c r="W157" s="13" t="s">
        <v>3901</v>
      </c>
      <c r="X157" s="13" t="s">
        <v>3902</v>
      </c>
      <c r="Y157" s="13" t="s">
        <v>3903</v>
      </c>
      <c r="Z157" s="14"/>
    </row>
    <row r="158" customFormat="false" ht="45.75" hidden="false" customHeight="true" outlineLevel="0" collapsed="false">
      <c r="A158" s="9" t="s">
        <v>3904</v>
      </c>
      <c r="B158" s="9" t="s">
        <v>227</v>
      </c>
      <c r="C158" s="9" t="s">
        <v>1762</v>
      </c>
      <c r="D158" s="9" t="s">
        <v>3905</v>
      </c>
      <c r="E158" s="9" t="s">
        <v>1137</v>
      </c>
      <c r="F158" s="9" t="s">
        <v>1976</v>
      </c>
      <c r="G158" s="15" t="n">
        <v>1000</v>
      </c>
      <c r="H158" s="9" t="s">
        <v>110</v>
      </c>
      <c r="I158" s="9" t="s">
        <v>417</v>
      </c>
      <c r="J158" s="9" t="s">
        <v>2842</v>
      </c>
      <c r="K158" s="9" t="s">
        <v>3906</v>
      </c>
      <c r="L158" s="13" t="n">
        <v>4</v>
      </c>
      <c r="M158" s="13" t="s">
        <v>3907</v>
      </c>
      <c r="N158" s="13" t="s">
        <v>3908</v>
      </c>
      <c r="O158" s="13" t="s">
        <v>3909</v>
      </c>
      <c r="P158" s="13" t="s">
        <v>3910</v>
      </c>
      <c r="Q158" s="13" t="s">
        <v>3911</v>
      </c>
      <c r="R158" s="13" t="s">
        <v>3912</v>
      </c>
      <c r="S158" s="13" t="s">
        <v>3913</v>
      </c>
      <c r="T158" s="13" t="s">
        <v>3795</v>
      </c>
      <c r="U158" s="13" t="s">
        <v>2139</v>
      </c>
      <c r="V158" s="13" t="s">
        <v>3768</v>
      </c>
      <c r="W158" s="13" t="s">
        <v>3876</v>
      </c>
      <c r="X158" s="13" t="s">
        <v>3914</v>
      </c>
      <c r="Y158" s="13" t="s">
        <v>3915</v>
      </c>
      <c r="Z158" s="14"/>
    </row>
    <row r="159" customFormat="false" ht="68.25" hidden="false" customHeight="true" outlineLevel="0" collapsed="false">
      <c r="A159" s="9" t="s">
        <v>3916</v>
      </c>
      <c r="B159" s="9" t="s">
        <v>244</v>
      </c>
      <c r="C159" s="9" t="s">
        <v>1773</v>
      </c>
      <c r="D159" s="9" t="s">
        <v>3917</v>
      </c>
      <c r="E159" s="9" t="s">
        <v>1134</v>
      </c>
      <c r="F159" s="9" t="s">
        <v>1976</v>
      </c>
      <c r="G159" s="15" t="n">
        <v>1200</v>
      </c>
      <c r="H159" s="9" t="s">
        <v>110</v>
      </c>
      <c r="I159" s="9" t="s">
        <v>379</v>
      </c>
      <c r="J159" s="9" t="s">
        <v>1977</v>
      </c>
      <c r="K159" s="9"/>
      <c r="L159" s="13" t="n">
        <v>1</v>
      </c>
      <c r="M159" s="13" t="s">
        <v>3918</v>
      </c>
      <c r="N159" s="13" t="s">
        <v>3919</v>
      </c>
      <c r="O159" s="13" t="s">
        <v>3920</v>
      </c>
      <c r="P159" s="13" t="s">
        <v>3921</v>
      </c>
      <c r="Q159" s="13" t="s">
        <v>3922</v>
      </c>
      <c r="R159" s="13" t="s">
        <v>3923</v>
      </c>
      <c r="S159" s="13" t="s">
        <v>3924</v>
      </c>
      <c r="T159" s="13" t="s">
        <v>3925</v>
      </c>
      <c r="U159" s="13" t="s">
        <v>3926</v>
      </c>
      <c r="V159" s="13" t="s">
        <v>3927</v>
      </c>
      <c r="W159" s="13"/>
      <c r="X159" s="13"/>
      <c r="Y159" s="13"/>
      <c r="Z159" s="14"/>
    </row>
    <row r="160" customFormat="false" ht="68.25" hidden="false" customHeight="true" outlineLevel="0" collapsed="false">
      <c r="A160" s="9" t="s">
        <v>3928</v>
      </c>
      <c r="B160" s="9" t="s">
        <v>244</v>
      </c>
      <c r="C160" s="9" t="s">
        <v>1773</v>
      </c>
      <c r="D160" s="9" t="s">
        <v>3929</v>
      </c>
      <c r="E160" s="9" t="s">
        <v>1135</v>
      </c>
      <c r="F160" s="9" t="s">
        <v>2002</v>
      </c>
      <c r="G160" s="15" t="n">
        <v>400</v>
      </c>
      <c r="H160" s="9" t="s">
        <v>110</v>
      </c>
      <c r="I160" s="9" t="s">
        <v>379</v>
      </c>
      <c r="J160" s="9" t="s">
        <v>1977</v>
      </c>
      <c r="K160" s="9"/>
      <c r="L160" s="13" t="n">
        <v>2</v>
      </c>
      <c r="M160" s="13" t="s">
        <v>3930</v>
      </c>
      <c r="N160" s="13" t="s">
        <v>3931</v>
      </c>
      <c r="O160" s="13" t="s">
        <v>3932</v>
      </c>
      <c r="P160" s="13" t="s">
        <v>3933</v>
      </c>
      <c r="Q160" s="13" t="s">
        <v>3934</v>
      </c>
      <c r="R160" s="13" t="s">
        <v>3935</v>
      </c>
      <c r="S160" s="13" t="s">
        <v>3936</v>
      </c>
      <c r="T160" s="13" t="s">
        <v>3937</v>
      </c>
      <c r="U160" s="13" t="s">
        <v>3938</v>
      </c>
      <c r="V160" s="13" t="s">
        <v>3939</v>
      </c>
      <c r="W160" s="13" t="s">
        <v>3916</v>
      </c>
      <c r="X160" s="13"/>
      <c r="Y160" s="13"/>
      <c r="Z160" s="14"/>
    </row>
    <row r="161" customFormat="false" ht="45.75" hidden="false" customHeight="true" outlineLevel="0" collapsed="false">
      <c r="A161" s="9" t="s">
        <v>3940</v>
      </c>
      <c r="B161" s="9" t="s">
        <v>244</v>
      </c>
      <c r="C161" s="9" t="s">
        <v>1773</v>
      </c>
      <c r="D161" s="9" t="s">
        <v>3941</v>
      </c>
      <c r="E161" s="9" t="s">
        <v>1136</v>
      </c>
      <c r="F161" s="9" t="s">
        <v>2002</v>
      </c>
      <c r="G161" s="15" t="n">
        <v>500</v>
      </c>
      <c r="H161" s="9" t="s">
        <v>110</v>
      </c>
      <c r="I161" s="9" t="s">
        <v>379</v>
      </c>
      <c r="J161" s="9" t="s">
        <v>1977</v>
      </c>
      <c r="K161" s="9"/>
      <c r="L161" s="13" t="n">
        <v>3</v>
      </c>
      <c r="M161" s="13" t="s">
        <v>3942</v>
      </c>
      <c r="N161" s="13" t="s">
        <v>3943</v>
      </c>
      <c r="O161" s="13" t="s">
        <v>3944</v>
      </c>
      <c r="P161" s="13" t="s">
        <v>3945</v>
      </c>
      <c r="Q161" s="13" t="s">
        <v>3946</v>
      </c>
      <c r="R161" s="13" t="s">
        <v>3947</v>
      </c>
      <c r="S161" s="13" t="s">
        <v>3948</v>
      </c>
      <c r="T161" s="13" t="s">
        <v>3949</v>
      </c>
      <c r="U161" s="13" t="s">
        <v>2283</v>
      </c>
      <c r="V161" s="13" t="s">
        <v>3950</v>
      </c>
      <c r="W161" s="13" t="s">
        <v>3928</v>
      </c>
      <c r="X161" s="13"/>
      <c r="Y161" s="13"/>
      <c r="Z161" s="14"/>
    </row>
    <row r="162" customFormat="false" ht="79.5" hidden="false" customHeight="true" outlineLevel="0" collapsed="false">
      <c r="A162" s="9" t="s">
        <v>3951</v>
      </c>
      <c r="B162" s="9" t="s">
        <v>244</v>
      </c>
      <c r="C162" s="9" t="s">
        <v>1773</v>
      </c>
      <c r="D162" s="9" t="s">
        <v>3952</v>
      </c>
      <c r="E162" s="9" t="s">
        <v>1135</v>
      </c>
      <c r="F162" s="9" t="s">
        <v>1976</v>
      </c>
      <c r="G162" s="15" t="n">
        <v>1000</v>
      </c>
      <c r="H162" s="9" t="s">
        <v>110</v>
      </c>
      <c r="I162" s="9" t="s">
        <v>2026</v>
      </c>
      <c r="J162" s="9" t="s">
        <v>2842</v>
      </c>
      <c r="K162" s="9" t="s">
        <v>3953</v>
      </c>
      <c r="L162" s="13" t="n">
        <v>3</v>
      </c>
      <c r="M162" s="13" t="s">
        <v>3954</v>
      </c>
      <c r="N162" s="13" t="s">
        <v>3955</v>
      </c>
      <c r="O162" s="13" t="s">
        <v>3956</v>
      </c>
      <c r="P162" s="13" t="s">
        <v>3957</v>
      </c>
      <c r="Q162" s="13" t="s">
        <v>3958</v>
      </c>
      <c r="R162" s="13" t="s">
        <v>3959</v>
      </c>
      <c r="S162" s="13" t="s">
        <v>3960</v>
      </c>
      <c r="T162" s="13" t="s">
        <v>3961</v>
      </c>
      <c r="U162" s="13" t="s">
        <v>3962</v>
      </c>
      <c r="V162" s="13" t="s">
        <v>3963</v>
      </c>
      <c r="W162" s="13" t="s">
        <v>3964</v>
      </c>
      <c r="X162" s="13" t="s">
        <v>3965</v>
      </c>
      <c r="Y162" s="13" t="s">
        <v>3966</v>
      </c>
      <c r="Z162" s="14"/>
    </row>
    <row r="163" customFormat="false" ht="45.75" hidden="false" customHeight="true" outlineLevel="0" collapsed="false">
      <c r="A163" s="9" t="s">
        <v>3967</v>
      </c>
      <c r="B163" s="9" t="s">
        <v>244</v>
      </c>
      <c r="C163" s="9" t="s">
        <v>1773</v>
      </c>
      <c r="D163" s="9" t="s">
        <v>3968</v>
      </c>
      <c r="E163" s="9" t="s">
        <v>1137</v>
      </c>
      <c r="F163" s="9" t="s">
        <v>2002</v>
      </c>
      <c r="G163" s="15" t="n">
        <v>400</v>
      </c>
      <c r="H163" s="9" t="s">
        <v>110</v>
      </c>
      <c r="I163" s="9" t="s">
        <v>2026</v>
      </c>
      <c r="J163" s="9" t="s">
        <v>1977</v>
      </c>
      <c r="K163" s="9"/>
      <c r="L163" s="13" t="n">
        <v>3</v>
      </c>
      <c r="M163" s="13" t="s">
        <v>3969</v>
      </c>
      <c r="N163" s="13" t="s">
        <v>3970</v>
      </c>
      <c r="O163" s="13" t="s">
        <v>3971</v>
      </c>
      <c r="P163" s="13" t="s">
        <v>3972</v>
      </c>
      <c r="Q163" s="13" t="s">
        <v>3973</v>
      </c>
      <c r="R163" s="13" t="s">
        <v>3974</v>
      </c>
      <c r="S163" s="13" t="s">
        <v>3975</v>
      </c>
      <c r="T163" s="13" t="s">
        <v>3976</v>
      </c>
      <c r="U163" s="13" t="s">
        <v>3977</v>
      </c>
      <c r="V163" s="13" t="s">
        <v>3978</v>
      </c>
      <c r="W163" s="13" t="s">
        <v>3940</v>
      </c>
      <c r="X163" s="13" t="s">
        <v>3979</v>
      </c>
      <c r="Y163" s="13" t="s">
        <v>3980</v>
      </c>
      <c r="Z163" s="14"/>
    </row>
    <row r="164" customFormat="false" ht="79.5" hidden="false" customHeight="true" outlineLevel="0" collapsed="false">
      <c r="A164" s="9" t="s">
        <v>3981</v>
      </c>
      <c r="B164" s="9" t="s">
        <v>244</v>
      </c>
      <c r="C164" s="9" t="s">
        <v>1773</v>
      </c>
      <c r="D164" s="9" t="s">
        <v>3982</v>
      </c>
      <c r="E164" s="9" t="s">
        <v>1135</v>
      </c>
      <c r="F164" s="9" t="s">
        <v>1976</v>
      </c>
      <c r="G164" s="15" t="n">
        <v>1500</v>
      </c>
      <c r="H164" s="9" t="s">
        <v>110</v>
      </c>
      <c r="I164" s="9" t="s">
        <v>2026</v>
      </c>
      <c r="J164" s="9" t="s">
        <v>1977</v>
      </c>
      <c r="K164" s="9"/>
      <c r="L164" s="13" t="n">
        <v>3</v>
      </c>
      <c r="M164" s="13" t="s">
        <v>3983</v>
      </c>
      <c r="N164" s="13" t="s">
        <v>3984</v>
      </c>
      <c r="O164" s="13" t="s">
        <v>3985</v>
      </c>
      <c r="P164" s="13" t="s">
        <v>3986</v>
      </c>
      <c r="Q164" s="13" t="s">
        <v>3987</v>
      </c>
      <c r="R164" s="13" t="s">
        <v>3988</v>
      </c>
      <c r="S164" s="13" t="s">
        <v>3989</v>
      </c>
      <c r="T164" s="13" t="s">
        <v>3990</v>
      </c>
      <c r="U164" s="13" t="s">
        <v>3991</v>
      </c>
      <c r="V164" s="13" t="s">
        <v>3992</v>
      </c>
      <c r="W164" s="13" t="s">
        <v>3951</v>
      </c>
      <c r="X164" s="13" t="s">
        <v>3993</v>
      </c>
      <c r="Y164" s="13" t="s">
        <v>3994</v>
      </c>
      <c r="Z164" s="14"/>
    </row>
    <row r="165" customFormat="false" ht="45.75" hidden="false" customHeight="true" outlineLevel="0" collapsed="false">
      <c r="A165" s="9" t="s">
        <v>3995</v>
      </c>
      <c r="B165" s="9" t="s">
        <v>244</v>
      </c>
      <c r="C165" s="9" t="s">
        <v>1773</v>
      </c>
      <c r="D165" s="9" t="s">
        <v>3996</v>
      </c>
      <c r="E165" s="9" t="s">
        <v>1138</v>
      </c>
      <c r="F165" s="9" t="s">
        <v>2002</v>
      </c>
      <c r="G165" s="15" t="n">
        <v>400</v>
      </c>
      <c r="H165" s="9" t="s">
        <v>110</v>
      </c>
      <c r="I165" s="9" t="s">
        <v>2026</v>
      </c>
      <c r="J165" s="9" t="s">
        <v>1977</v>
      </c>
      <c r="K165" s="9"/>
      <c r="L165" s="13" t="n">
        <v>3</v>
      </c>
      <c r="M165" s="13" t="s">
        <v>3997</v>
      </c>
      <c r="N165" s="13" t="s">
        <v>3998</v>
      </c>
      <c r="O165" s="13" t="s">
        <v>3999</v>
      </c>
      <c r="P165" s="13" t="s">
        <v>4000</v>
      </c>
      <c r="Q165" s="13" t="s">
        <v>4001</v>
      </c>
      <c r="R165" s="13" t="s">
        <v>4002</v>
      </c>
      <c r="S165" s="13" t="s">
        <v>4003</v>
      </c>
      <c r="T165" s="13" t="s">
        <v>4004</v>
      </c>
      <c r="U165" s="13" t="s">
        <v>4005</v>
      </c>
      <c r="V165" s="13" t="s">
        <v>4006</v>
      </c>
      <c r="W165" s="13" t="s">
        <v>4007</v>
      </c>
      <c r="X165" s="13"/>
      <c r="Y165" s="13"/>
      <c r="Z165" s="14"/>
    </row>
    <row r="166" customFormat="false" ht="34.5" hidden="false" customHeight="true" outlineLevel="0" collapsed="false">
      <c r="A166" s="9" t="s">
        <v>4008</v>
      </c>
      <c r="B166" s="9" t="s">
        <v>244</v>
      </c>
      <c r="C166" s="9" t="s">
        <v>1773</v>
      </c>
      <c r="D166" s="9" t="s">
        <v>4009</v>
      </c>
      <c r="E166" s="9" t="s">
        <v>1139</v>
      </c>
      <c r="F166" s="9" t="s">
        <v>2002</v>
      </c>
      <c r="G166" s="15" t="n">
        <v>0</v>
      </c>
      <c r="H166" s="9" t="s">
        <v>110</v>
      </c>
      <c r="I166" s="9" t="s">
        <v>2026</v>
      </c>
      <c r="J166" s="9" t="s">
        <v>1977</v>
      </c>
      <c r="K166" s="9"/>
      <c r="L166" s="13" t="n">
        <v>3</v>
      </c>
      <c r="M166" s="13" t="s">
        <v>4010</v>
      </c>
      <c r="N166" s="13" t="s">
        <v>4011</v>
      </c>
      <c r="O166" s="13" t="s">
        <v>4012</v>
      </c>
      <c r="P166" s="13" t="s">
        <v>2145</v>
      </c>
      <c r="Q166" s="13" t="s">
        <v>4013</v>
      </c>
      <c r="R166" s="13" t="s">
        <v>2147</v>
      </c>
      <c r="S166" s="13" t="s">
        <v>4014</v>
      </c>
      <c r="T166" s="13" t="s">
        <v>2259</v>
      </c>
      <c r="U166" s="13" t="s">
        <v>4015</v>
      </c>
      <c r="V166" s="13" t="s">
        <v>2128</v>
      </c>
      <c r="W166" s="13"/>
      <c r="X166" s="13"/>
      <c r="Y166" s="13"/>
      <c r="Z166" s="14"/>
    </row>
    <row r="167" customFormat="false" ht="57" hidden="false" customHeight="true" outlineLevel="0" collapsed="false">
      <c r="A167" s="9" t="s">
        <v>4016</v>
      </c>
      <c r="B167" s="9" t="s">
        <v>244</v>
      </c>
      <c r="C167" s="9" t="s">
        <v>1773</v>
      </c>
      <c r="D167" s="9" t="s">
        <v>4017</v>
      </c>
      <c r="E167" s="9" t="s">
        <v>1134</v>
      </c>
      <c r="F167" s="9" t="s">
        <v>1976</v>
      </c>
      <c r="G167" s="15" t="n">
        <v>1000</v>
      </c>
      <c r="H167" s="9" t="s">
        <v>110</v>
      </c>
      <c r="I167" s="9" t="s">
        <v>417</v>
      </c>
      <c r="J167" s="9" t="s">
        <v>1977</v>
      </c>
      <c r="K167" s="9"/>
      <c r="L167" s="13" t="n">
        <v>4</v>
      </c>
      <c r="M167" s="13" t="s">
        <v>4018</v>
      </c>
      <c r="N167" s="13" t="s">
        <v>4019</v>
      </c>
      <c r="O167" s="13" t="s">
        <v>4020</v>
      </c>
      <c r="P167" s="13" t="s">
        <v>4021</v>
      </c>
      <c r="Q167" s="13" t="s">
        <v>4022</v>
      </c>
      <c r="R167" s="13" t="s">
        <v>4023</v>
      </c>
      <c r="S167" s="13" t="s">
        <v>4024</v>
      </c>
      <c r="T167" s="13" t="s">
        <v>4025</v>
      </c>
      <c r="U167" s="13" t="s">
        <v>4026</v>
      </c>
      <c r="V167" s="13" t="s">
        <v>4027</v>
      </c>
      <c r="W167" s="13" t="s">
        <v>4028</v>
      </c>
      <c r="X167" s="13"/>
      <c r="Y167" s="13"/>
      <c r="Z167" s="14"/>
    </row>
    <row r="168" customFormat="false" ht="57" hidden="false" customHeight="true" outlineLevel="0" collapsed="false">
      <c r="A168" s="9" t="s">
        <v>4029</v>
      </c>
      <c r="B168" s="9" t="s">
        <v>244</v>
      </c>
      <c r="C168" s="9" t="s">
        <v>1773</v>
      </c>
      <c r="D168" s="9" t="s">
        <v>4030</v>
      </c>
      <c r="E168" s="9" t="s">
        <v>1140</v>
      </c>
      <c r="F168" s="9" t="s">
        <v>1976</v>
      </c>
      <c r="G168" s="15" t="n">
        <v>800</v>
      </c>
      <c r="H168" s="9" t="s">
        <v>110</v>
      </c>
      <c r="I168" s="9" t="s">
        <v>417</v>
      </c>
      <c r="J168" s="9" t="s">
        <v>2842</v>
      </c>
      <c r="K168" s="9" t="s">
        <v>4031</v>
      </c>
      <c r="L168" s="13" t="n">
        <v>4</v>
      </c>
      <c r="M168" s="13" t="s">
        <v>4032</v>
      </c>
      <c r="N168" s="13" t="s">
        <v>4033</v>
      </c>
      <c r="O168" s="13" t="s">
        <v>4034</v>
      </c>
      <c r="P168" s="13" t="s">
        <v>4035</v>
      </c>
      <c r="Q168" s="13" t="s">
        <v>4036</v>
      </c>
      <c r="R168" s="13" t="s">
        <v>4037</v>
      </c>
      <c r="S168" s="13" t="s">
        <v>4038</v>
      </c>
      <c r="T168" s="13" t="s">
        <v>4039</v>
      </c>
      <c r="U168" s="13" t="s">
        <v>4040</v>
      </c>
      <c r="V168" s="13" t="s">
        <v>4041</v>
      </c>
      <c r="W168" s="13" t="s">
        <v>4016</v>
      </c>
      <c r="X168" s="13" t="s">
        <v>4042</v>
      </c>
      <c r="Y168" s="13" t="s">
        <v>4043</v>
      </c>
      <c r="Z168" s="14"/>
    </row>
    <row r="169" customFormat="false" ht="45.75" hidden="false" customHeight="true" outlineLevel="0" collapsed="false">
      <c r="A169" s="9" t="s">
        <v>4044</v>
      </c>
      <c r="B169" s="9" t="s">
        <v>244</v>
      </c>
      <c r="C169" s="9" t="s">
        <v>1773</v>
      </c>
      <c r="D169" s="9" t="s">
        <v>4045</v>
      </c>
      <c r="E169" s="9" t="s">
        <v>1136</v>
      </c>
      <c r="F169" s="9" t="s">
        <v>2312</v>
      </c>
      <c r="G169" s="15" t="n">
        <v>5000</v>
      </c>
      <c r="H169" s="9" t="s">
        <v>110</v>
      </c>
      <c r="I169" s="9" t="s">
        <v>417</v>
      </c>
      <c r="J169" s="9" t="s">
        <v>1977</v>
      </c>
      <c r="K169" s="9"/>
      <c r="L169" s="13" t="n">
        <v>5</v>
      </c>
      <c r="M169" s="13" t="s">
        <v>4046</v>
      </c>
      <c r="N169" s="13" t="s">
        <v>4047</v>
      </c>
      <c r="O169" s="13" t="s">
        <v>4048</v>
      </c>
      <c r="P169" s="13" t="s">
        <v>4049</v>
      </c>
      <c r="Q169" s="13" t="s">
        <v>4050</v>
      </c>
      <c r="R169" s="13" t="s">
        <v>4051</v>
      </c>
      <c r="S169" s="13" t="s">
        <v>4052</v>
      </c>
      <c r="T169" s="13" t="s">
        <v>4053</v>
      </c>
      <c r="U169" s="13" t="s">
        <v>4054</v>
      </c>
      <c r="V169" s="13" t="s">
        <v>4055</v>
      </c>
      <c r="W169" s="13" t="s">
        <v>4029</v>
      </c>
      <c r="X169" s="13"/>
      <c r="Y169" s="13"/>
      <c r="Z169" s="14"/>
    </row>
    <row r="170" customFormat="false" ht="45.75" hidden="false" customHeight="true" outlineLevel="0" collapsed="false">
      <c r="A170" s="9" t="s">
        <v>4056</v>
      </c>
      <c r="B170" s="9" t="s">
        <v>244</v>
      </c>
      <c r="C170" s="9" t="s">
        <v>1773</v>
      </c>
      <c r="D170" s="9" t="s">
        <v>4057</v>
      </c>
      <c r="E170" s="9" t="s">
        <v>1137</v>
      </c>
      <c r="F170" s="9" t="s">
        <v>1976</v>
      </c>
      <c r="G170" s="15" t="n">
        <v>1200</v>
      </c>
      <c r="H170" s="9" t="s">
        <v>110</v>
      </c>
      <c r="I170" s="9" t="s">
        <v>417</v>
      </c>
      <c r="J170" s="9" t="s">
        <v>1977</v>
      </c>
      <c r="K170" s="9"/>
      <c r="L170" s="13" t="n">
        <v>5</v>
      </c>
      <c r="M170" s="13" t="s">
        <v>4058</v>
      </c>
      <c r="N170" s="13" t="s">
        <v>4059</v>
      </c>
      <c r="O170" s="13" t="s">
        <v>4060</v>
      </c>
      <c r="P170" s="13" t="s">
        <v>4061</v>
      </c>
      <c r="Q170" s="13" t="s">
        <v>4062</v>
      </c>
      <c r="R170" s="13" t="s">
        <v>4063</v>
      </c>
      <c r="S170" s="13" t="s">
        <v>4064</v>
      </c>
      <c r="T170" s="13" t="s">
        <v>4065</v>
      </c>
      <c r="U170" s="13" t="s">
        <v>4066</v>
      </c>
      <c r="V170" s="13" t="s">
        <v>4067</v>
      </c>
      <c r="W170" s="13" t="s">
        <v>4044</v>
      </c>
      <c r="X170" s="13" t="s">
        <v>4068</v>
      </c>
      <c r="Y170" s="13" t="s">
        <v>4069</v>
      </c>
      <c r="Z170" s="14"/>
    </row>
    <row r="171" customFormat="false" ht="45.75" hidden="false" customHeight="true" outlineLevel="0" collapsed="false">
      <c r="A171" s="9" t="s">
        <v>4007</v>
      </c>
      <c r="B171" s="9" t="s">
        <v>244</v>
      </c>
      <c r="C171" s="9" t="s">
        <v>1773</v>
      </c>
      <c r="D171" s="9" t="s">
        <v>4070</v>
      </c>
      <c r="E171" s="9" t="s">
        <v>1133</v>
      </c>
      <c r="F171" s="9" t="s">
        <v>1976</v>
      </c>
      <c r="G171" s="15" t="n">
        <v>1000</v>
      </c>
      <c r="H171" s="9" t="s">
        <v>110</v>
      </c>
      <c r="I171" s="9" t="s">
        <v>2026</v>
      </c>
      <c r="J171" s="9" t="s">
        <v>1977</v>
      </c>
      <c r="K171" s="9"/>
      <c r="L171" s="13" t="n">
        <v>3</v>
      </c>
      <c r="M171" s="13" t="s">
        <v>4071</v>
      </c>
      <c r="N171" s="13" t="s">
        <v>4072</v>
      </c>
      <c r="O171" s="13" t="s">
        <v>4073</v>
      </c>
      <c r="P171" s="13" t="s">
        <v>4074</v>
      </c>
      <c r="Q171" s="13" t="s">
        <v>4075</v>
      </c>
      <c r="R171" s="13" t="s">
        <v>4076</v>
      </c>
      <c r="S171" s="13" t="s">
        <v>4077</v>
      </c>
      <c r="T171" s="13" t="s">
        <v>4078</v>
      </c>
      <c r="U171" s="13" t="s">
        <v>4079</v>
      </c>
      <c r="V171" s="13" t="s">
        <v>4080</v>
      </c>
      <c r="W171" s="13" t="s">
        <v>3940</v>
      </c>
      <c r="X171" s="13" t="s">
        <v>4081</v>
      </c>
      <c r="Y171" s="13" t="s">
        <v>4082</v>
      </c>
      <c r="Z171" s="14"/>
    </row>
    <row r="172" customFormat="false" ht="45.75" hidden="false" customHeight="true" outlineLevel="0" collapsed="false">
      <c r="A172" s="9" t="s">
        <v>4083</v>
      </c>
      <c r="B172" s="9" t="s">
        <v>244</v>
      </c>
      <c r="C172" s="9" t="s">
        <v>1773</v>
      </c>
      <c r="D172" s="9" t="s">
        <v>4084</v>
      </c>
      <c r="E172" s="9" t="s">
        <v>1134</v>
      </c>
      <c r="F172" s="9" t="s">
        <v>2002</v>
      </c>
      <c r="G172" s="15" t="n">
        <v>400</v>
      </c>
      <c r="H172" s="9" t="s">
        <v>110</v>
      </c>
      <c r="I172" s="9" t="s">
        <v>2026</v>
      </c>
      <c r="J172" s="9" t="s">
        <v>1977</v>
      </c>
      <c r="K172" s="9"/>
      <c r="L172" s="13" t="n">
        <v>3</v>
      </c>
      <c r="M172" s="13" t="s">
        <v>4085</v>
      </c>
      <c r="N172" s="13" t="s">
        <v>4086</v>
      </c>
      <c r="O172" s="13" t="s">
        <v>4087</v>
      </c>
      <c r="P172" s="13" t="s">
        <v>4088</v>
      </c>
      <c r="Q172" s="13" t="s">
        <v>4089</v>
      </c>
      <c r="R172" s="13" t="s">
        <v>4090</v>
      </c>
      <c r="S172" s="13" t="s">
        <v>4091</v>
      </c>
      <c r="T172" s="13" t="s">
        <v>4092</v>
      </c>
      <c r="U172" s="13" t="s">
        <v>4093</v>
      </c>
      <c r="V172" s="13" t="s">
        <v>2284</v>
      </c>
      <c r="W172" s="13" t="s">
        <v>4007</v>
      </c>
      <c r="X172" s="13"/>
      <c r="Y172" s="13"/>
      <c r="Z172" s="14"/>
    </row>
    <row r="173" customFormat="false" ht="45.75" hidden="false" customHeight="true" outlineLevel="0" collapsed="false">
      <c r="A173" s="9" t="s">
        <v>4094</v>
      </c>
      <c r="B173" s="9" t="s">
        <v>244</v>
      </c>
      <c r="C173" s="9" t="s">
        <v>1773</v>
      </c>
      <c r="D173" s="9" t="s">
        <v>4095</v>
      </c>
      <c r="E173" s="9" t="s">
        <v>1136</v>
      </c>
      <c r="F173" s="9" t="s">
        <v>2002</v>
      </c>
      <c r="G173" s="15" t="n">
        <v>500</v>
      </c>
      <c r="H173" s="9" t="s">
        <v>110</v>
      </c>
      <c r="I173" s="9" t="s">
        <v>2026</v>
      </c>
      <c r="J173" s="9" t="s">
        <v>1977</v>
      </c>
      <c r="K173" s="9"/>
      <c r="L173" s="13" t="n">
        <v>3</v>
      </c>
      <c r="M173" s="13" t="s">
        <v>4096</v>
      </c>
      <c r="N173" s="13" t="s">
        <v>4097</v>
      </c>
      <c r="O173" s="13" t="s">
        <v>4098</v>
      </c>
      <c r="P173" s="13" t="s">
        <v>4099</v>
      </c>
      <c r="Q173" s="13" t="s">
        <v>4100</v>
      </c>
      <c r="R173" s="13" t="s">
        <v>4101</v>
      </c>
      <c r="S173" s="13" t="s">
        <v>4102</v>
      </c>
      <c r="T173" s="13" t="s">
        <v>4103</v>
      </c>
      <c r="U173" s="13" t="s">
        <v>4104</v>
      </c>
      <c r="V173" s="13" t="s">
        <v>4105</v>
      </c>
      <c r="W173" s="13" t="s">
        <v>3940</v>
      </c>
      <c r="X173" s="13"/>
      <c r="Y173" s="13"/>
      <c r="Z173" s="14"/>
    </row>
    <row r="174" customFormat="false" ht="45.75" hidden="false" customHeight="true" outlineLevel="0" collapsed="false">
      <c r="A174" s="9" t="s">
        <v>4106</v>
      </c>
      <c r="B174" s="9" t="s">
        <v>244</v>
      </c>
      <c r="C174" s="9" t="s">
        <v>1773</v>
      </c>
      <c r="D174" s="9" t="s">
        <v>4107</v>
      </c>
      <c r="E174" s="9" t="s">
        <v>1140</v>
      </c>
      <c r="F174" s="9" t="s">
        <v>2002</v>
      </c>
      <c r="G174" s="15" t="n">
        <v>200</v>
      </c>
      <c r="H174" s="9" t="s">
        <v>110</v>
      </c>
      <c r="I174" s="9" t="s">
        <v>2026</v>
      </c>
      <c r="J174" s="9" t="s">
        <v>1977</v>
      </c>
      <c r="K174" s="9"/>
      <c r="L174" s="13" t="n">
        <v>3</v>
      </c>
      <c r="M174" s="13" t="s">
        <v>4108</v>
      </c>
      <c r="N174" s="13" t="s">
        <v>4109</v>
      </c>
      <c r="O174" s="13" t="s">
        <v>4110</v>
      </c>
      <c r="P174" s="13" t="s">
        <v>4111</v>
      </c>
      <c r="Q174" s="13" t="s">
        <v>4112</v>
      </c>
      <c r="R174" s="13" t="s">
        <v>4113</v>
      </c>
      <c r="S174" s="13" t="s">
        <v>4114</v>
      </c>
      <c r="T174" s="13" t="s">
        <v>4115</v>
      </c>
      <c r="U174" s="13" t="s">
        <v>4116</v>
      </c>
      <c r="V174" s="13" t="s">
        <v>2128</v>
      </c>
      <c r="W174" s="13"/>
      <c r="X174" s="13"/>
      <c r="Y174" s="13"/>
      <c r="Z174" s="14"/>
    </row>
    <row r="175" customFormat="false" ht="57" hidden="false" customHeight="true" outlineLevel="0" collapsed="false">
      <c r="A175" s="9" t="s">
        <v>4117</v>
      </c>
      <c r="B175" s="9" t="s">
        <v>260</v>
      </c>
      <c r="C175" s="9" t="s">
        <v>1785</v>
      </c>
      <c r="D175" s="9" t="s">
        <v>4118</v>
      </c>
      <c r="E175" s="9" t="s">
        <v>1134</v>
      </c>
      <c r="F175" s="9" t="s">
        <v>1976</v>
      </c>
      <c r="G175" s="11" t="n">
        <v>80</v>
      </c>
      <c r="H175" s="9" t="s">
        <v>73</v>
      </c>
      <c r="I175" s="9" t="s">
        <v>379</v>
      </c>
      <c r="J175" s="9" t="s">
        <v>1977</v>
      </c>
      <c r="K175" s="9"/>
      <c r="L175" s="13" t="n">
        <v>1</v>
      </c>
      <c r="M175" s="13" t="s">
        <v>4119</v>
      </c>
      <c r="N175" s="13" t="s">
        <v>4120</v>
      </c>
      <c r="O175" s="13" t="s">
        <v>4121</v>
      </c>
      <c r="P175" s="13" t="s">
        <v>4122</v>
      </c>
      <c r="Q175" s="13" t="s">
        <v>4123</v>
      </c>
      <c r="R175" s="13" t="s">
        <v>4124</v>
      </c>
      <c r="S175" s="13" t="s">
        <v>4125</v>
      </c>
      <c r="T175" s="13" t="s">
        <v>4126</v>
      </c>
      <c r="U175" s="13" t="s">
        <v>4127</v>
      </c>
      <c r="V175" s="13" t="s">
        <v>4128</v>
      </c>
      <c r="W175" s="13"/>
      <c r="X175" s="13"/>
      <c r="Y175" s="13"/>
      <c r="Z175" s="14"/>
    </row>
    <row r="176" customFormat="false" ht="45.75" hidden="false" customHeight="true" outlineLevel="0" collapsed="false">
      <c r="A176" s="9" t="s">
        <v>4129</v>
      </c>
      <c r="B176" s="9" t="s">
        <v>260</v>
      </c>
      <c r="C176" s="9" t="s">
        <v>1785</v>
      </c>
      <c r="D176" s="9" t="s">
        <v>4130</v>
      </c>
      <c r="E176" s="9" t="s">
        <v>1135</v>
      </c>
      <c r="F176" s="9" t="s">
        <v>1976</v>
      </c>
      <c r="G176" s="11" t="n">
        <v>60</v>
      </c>
      <c r="H176" s="9" t="s">
        <v>73</v>
      </c>
      <c r="I176" s="9" t="s">
        <v>379</v>
      </c>
      <c r="J176" s="9" t="s">
        <v>1977</v>
      </c>
      <c r="K176" s="9"/>
      <c r="L176" s="13" t="n">
        <v>1</v>
      </c>
      <c r="M176" s="13" t="s">
        <v>4131</v>
      </c>
      <c r="N176" s="13" t="s">
        <v>4132</v>
      </c>
      <c r="O176" s="13" t="s">
        <v>4133</v>
      </c>
      <c r="P176" s="13" t="s">
        <v>4134</v>
      </c>
      <c r="Q176" s="13" t="s">
        <v>4135</v>
      </c>
      <c r="R176" s="13" t="s">
        <v>4136</v>
      </c>
      <c r="S176" s="13" t="s">
        <v>4137</v>
      </c>
      <c r="T176" s="13" t="s">
        <v>4138</v>
      </c>
      <c r="U176" s="13" t="s">
        <v>4139</v>
      </c>
      <c r="V176" s="13" t="s">
        <v>4140</v>
      </c>
      <c r="W176" s="13"/>
      <c r="X176" s="13"/>
      <c r="Y176" s="13"/>
      <c r="Z176" s="14"/>
    </row>
    <row r="177" customFormat="false" ht="45.75" hidden="false" customHeight="true" outlineLevel="0" collapsed="false">
      <c r="A177" s="9" t="s">
        <v>4141</v>
      </c>
      <c r="B177" s="9" t="s">
        <v>260</v>
      </c>
      <c r="C177" s="9" t="s">
        <v>1785</v>
      </c>
      <c r="D177" s="9" t="s">
        <v>4142</v>
      </c>
      <c r="E177" s="9" t="s">
        <v>1137</v>
      </c>
      <c r="F177" s="9" t="s">
        <v>2002</v>
      </c>
      <c r="G177" s="11" t="n">
        <v>20</v>
      </c>
      <c r="H177" s="9" t="s">
        <v>73</v>
      </c>
      <c r="I177" s="9" t="s">
        <v>2026</v>
      </c>
      <c r="J177" s="9" t="s">
        <v>1977</v>
      </c>
      <c r="K177" s="9"/>
      <c r="L177" s="13" t="n">
        <v>1</v>
      </c>
      <c r="M177" s="13" t="s">
        <v>4143</v>
      </c>
      <c r="N177" s="13" t="s">
        <v>4144</v>
      </c>
      <c r="O177" s="13" t="s">
        <v>4145</v>
      </c>
      <c r="P177" s="13" t="s">
        <v>4146</v>
      </c>
      <c r="Q177" s="13" t="s">
        <v>4147</v>
      </c>
      <c r="R177" s="13" t="s">
        <v>4148</v>
      </c>
      <c r="S177" s="13" t="s">
        <v>4149</v>
      </c>
      <c r="T177" s="13" t="s">
        <v>3280</v>
      </c>
      <c r="U177" s="13" t="s">
        <v>4150</v>
      </c>
      <c r="V177" s="13" t="s">
        <v>3333</v>
      </c>
      <c r="W177" s="13" t="s">
        <v>4151</v>
      </c>
      <c r="X177" s="13" t="s">
        <v>4152</v>
      </c>
      <c r="Y177" s="13" t="s">
        <v>4153</v>
      </c>
      <c r="Z177" s="14"/>
    </row>
    <row r="178" customFormat="false" ht="57" hidden="false" customHeight="true" outlineLevel="0" collapsed="false">
      <c r="A178" s="9" t="s">
        <v>4154</v>
      </c>
      <c r="B178" s="9" t="s">
        <v>260</v>
      </c>
      <c r="C178" s="9" t="s">
        <v>1785</v>
      </c>
      <c r="D178" s="9" t="s">
        <v>4155</v>
      </c>
      <c r="E178" s="9" t="s">
        <v>1136</v>
      </c>
      <c r="F178" s="9" t="s">
        <v>2312</v>
      </c>
      <c r="G178" s="11" t="n">
        <v>300</v>
      </c>
      <c r="H178" s="9" t="s">
        <v>73</v>
      </c>
      <c r="I178" s="9" t="s">
        <v>2026</v>
      </c>
      <c r="J178" s="9" t="s">
        <v>2842</v>
      </c>
      <c r="K178" s="9" t="s">
        <v>4156</v>
      </c>
      <c r="L178" s="13" t="n">
        <v>1</v>
      </c>
      <c r="M178" s="13" t="s">
        <v>4157</v>
      </c>
      <c r="N178" s="13" t="s">
        <v>4158</v>
      </c>
      <c r="O178" s="13" t="s">
        <v>4159</v>
      </c>
      <c r="P178" s="13" t="s">
        <v>4160</v>
      </c>
      <c r="Q178" s="13" t="s">
        <v>4161</v>
      </c>
      <c r="R178" s="13" t="s">
        <v>4162</v>
      </c>
      <c r="S178" s="13" t="s">
        <v>4163</v>
      </c>
      <c r="T178" s="13" t="s">
        <v>4164</v>
      </c>
      <c r="U178" s="13" t="s">
        <v>4165</v>
      </c>
      <c r="V178" s="13" t="s">
        <v>4166</v>
      </c>
      <c r="W178" s="13" t="s">
        <v>4141</v>
      </c>
      <c r="X178" s="13" t="s">
        <v>4167</v>
      </c>
      <c r="Y178" s="13" t="s">
        <v>4168</v>
      </c>
      <c r="Z178" s="14"/>
    </row>
    <row r="179" customFormat="false" ht="45.75" hidden="false" customHeight="true" outlineLevel="0" collapsed="false">
      <c r="A179" s="9" t="s">
        <v>4169</v>
      </c>
      <c r="B179" s="9" t="s">
        <v>260</v>
      </c>
      <c r="C179" s="9" t="s">
        <v>1785</v>
      </c>
      <c r="D179" s="9" t="s">
        <v>4170</v>
      </c>
      <c r="E179" s="9" t="s">
        <v>1134</v>
      </c>
      <c r="F179" s="9" t="s">
        <v>1976</v>
      </c>
      <c r="G179" s="11" t="n">
        <v>60</v>
      </c>
      <c r="H179" s="9" t="s">
        <v>73</v>
      </c>
      <c r="I179" s="9" t="s">
        <v>2026</v>
      </c>
      <c r="J179" s="9" t="s">
        <v>1977</v>
      </c>
      <c r="K179" s="9"/>
      <c r="L179" s="13" t="n">
        <v>1</v>
      </c>
      <c r="M179" s="13" t="s">
        <v>4171</v>
      </c>
      <c r="N179" s="13" t="s">
        <v>4172</v>
      </c>
      <c r="O179" s="13" t="s">
        <v>4173</v>
      </c>
      <c r="P179" s="13" t="s">
        <v>4174</v>
      </c>
      <c r="Q179" s="13" t="s">
        <v>4175</v>
      </c>
      <c r="R179" s="13" t="s">
        <v>4176</v>
      </c>
      <c r="S179" s="13" t="s">
        <v>4177</v>
      </c>
      <c r="T179" s="13" t="s">
        <v>4178</v>
      </c>
      <c r="U179" s="13" t="s">
        <v>4179</v>
      </c>
      <c r="V179" s="13" t="s">
        <v>3733</v>
      </c>
      <c r="W179" s="13" t="s">
        <v>4180</v>
      </c>
      <c r="X179" s="13"/>
      <c r="Y179" s="13"/>
      <c r="Z179" s="14"/>
    </row>
    <row r="180" customFormat="false" ht="45.75" hidden="false" customHeight="true" outlineLevel="0" collapsed="false">
      <c r="A180" s="9" t="s">
        <v>4181</v>
      </c>
      <c r="B180" s="9" t="s">
        <v>260</v>
      </c>
      <c r="C180" s="9" t="s">
        <v>1785</v>
      </c>
      <c r="D180" s="9" t="s">
        <v>4182</v>
      </c>
      <c r="E180" s="9" t="s">
        <v>1135</v>
      </c>
      <c r="F180" s="9" t="s">
        <v>2002</v>
      </c>
      <c r="G180" s="11" t="n">
        <v>30</v>
      </c>
      <c r="H180" s="9" t="s">
        <v>73</v>
      </c>
      <c r="I180" s="9" t="s">
        <v>2026</v>
      </c>
      <c r="J180" s="9" t="s">
        <v>1977</v>
      </c>
      <c r="K180" s="9"/>
      <c r="L180" s="13" t="n">
        <v>1</v>
      </c>
      <c r="M180" s="13" t="s">
        <v>4183</v>
      </c>
      <c r="N180" s="13" t="s">
        <v>4184</v>
      </c>
      <c r="O180" s="13" t="s">
        <v>4185</v>
      </c>
      <c r="P180" s="13" t="s">
        <v>4186</v>
      </c>
      <c r="Q180" s="13" t="s">
        <v>4187</v>
      </c>
      <c r="R180" s="13" t="s">
        <v>4188</v>
      </c>
      <c r="S180" s="13" t="s">
        <v>4189</v>
      </c>
      <c r="T180" s="13" t="s">
        <v>4190</v>
      </c>
      <c r="U180" s="13" t="s">
        <v>4191</v>
      </c>
      <c r="V180" s="13" t="s">
        <v>4192</v>
      </c>
      <c r="W180" s="13" t="s">
        <v>4169</v>
      </c>
      <c r="X180" s="13"/>
      <c r="Y180" s="13"/>
      <c r="Z180" s="14"/>
    </row>
    <row r="181" customFormat="false" ht="45.75" hidden="false" customHeight="true" outlineLevel="0" collapsed="false">
      <c r="A181" s="9" t="s">
        <v>4193</v>
      </c>
      <c r="B181" s="9" t="s">
        <v>260</v>
      </c>
      <c r="C181" s="9" t="s">
        <v>1785</v>
      </c>
      <c r="D181" s="9" t="s">
        <v>4194</v>
      </c>
      <c r="E181" s="9" t="s">
        <v>1133</v>
      </c>
      <c r="F181" s="9" t="s">
        <v>1976</v>
      </c>
      <c r="G181" s="11" t="n">
        <v>80</v>
      </c>
      <c r="H181" s="9" t="s">
        <v>73</v>
      </c>
      <c r="I181" s="9" t="s">
        <v>2026</v>
      </c>
      <c r="J181" s="9" t="s">
        <v>2842</v>
      </c>
      <c r="K181" s="9" t="s">
        <v>4195</v>
      </c>
      <c r="L181" s="13" t="n">
        <v>1</v>
      </c>
      <c r="M181" s="13" t="s">
        <v>4196</v>
      </c>
      <c r="N181" s="13" t="s">
        <v>4197</v>
      </c>
      <c r="O181" s="13" t="s">
        <v>4198</v>
      </c>
      <c r="P181" s="13" t="s">
        <v>4199</v>
      </c>
      <c r="Q181" s="13" t="s">
        <v>4200</v>
      </c>
      <c r="R181" s="13" t="s">
        <v>4201</v>
      </c>
      <c r="S181" s="13" t="s">
        <v>4202</v>
      </c>
      <c r="T181" s="13" t="s">
        <v>4203</v>
      </c>
      <c r="U181" s="13" t="s">
        <v>4204</v>
      </c>
      <c r="V181" s="13" t="s">
        <v>4205</v>
      </c>
      <c r="W181" s="13" t="s">
        <v>4181</v>
      </c>
      <c r="X181" s="13" t="s">
        <v>4206</v>
      </c>
      <c r="Y181" s="13" t="s">
        <v>4207</v>
      </c>
      <c r="Z181" s="14"/>
    </row>
    <row r="182" customFormat="false" ht="57" hidden="false" customHeight="true" outlineLevel="0" collapsed="false">
      <c r="A182" s="9" t="s">
        <v>4208</v>
      </c>
      <c r="B182" s="9" t="s">
        <v>260</v>
      </c>
      <c r="C182" s="9" t="s">
        <v>1785</v>
      </c>
      <c r="D182" s="9" t="s">
        <v>4209</v>
      </c>
      <c r="E182" s="9" t="s">
        <v>1134</v>
      </c>
      <c r="F182" s="9" t="s">
        <v>1976</v>
      </c>
      <c r="G182" s="11" t="n">
        <v>60</v>
      </c>
      <c r="H182" s="9" t="s">
        <v>73</v>
      </c>
      <c r="I182" s="9" t="s">
        <v>417</v>
      </c>
      <c r="J182" s="9" t="s">
        <v>2842</v>
      </c>
      <c r="K182" s="9" t="s">
        <v>4210</v>
      </c>
      <c r="L182" s="13" t="n">
        <v>1</v>
      </c>
      <c r="M182" s="13" t="s">
        <v>4211</v>
      </c>
      <c r="N182" s="13" t="s">
        <v>4212</v>
      </c>
      <c r="O182" s="13" t="s">
        <v>4213</v>
      </c>
      <c r="P182" s="13" t="s">
        <v>4214</v>
      </c>
      <c r="Q182" s="13" t="s">
        <v>4215</v>
      </c>
      <c r="R182" s="13" t="s">
        <v>4216</v>
      </c>
      <c r="S182" s="13" t="s">
        <v>4217</v>
      </c>
      <c r="T182" s="13" t="s">
        <v>4218</v>
      </c>
      <c r="U182" s="13" t="s">
        <v>4219</v>
      </c>
      <c r="V182" s="13" t="s">
        <v>4220</v>
      </c>
      <c r="W182" s="13" t="s">
        <v>4193</v>
      </c>
      <c r="X182" s="13"/>
      <c r="Y182" s="13"/>
      <c r="Z182" s="14"/>
    </row>
    <row r="183" customFormat="false" ht="45.75" hidden="false" customHeight="true" outlineLevel="0" collapsed="false">
      <c r="A183" s="9" t="s">
        <v>4221</v>
      </c>
      <c r="B183" s="9" t="s">
        <v>260</v>
      </c>
      <c r="C183" s="9" t="s">
        <v>1785</v>
      </c>
      <c r="D183" s="9" t="s">
        <v>4222</v>
      </c>
      <c r="E183" s="9" t="s">
        <v>1138</v>
      </c>
      <c r="F183" s="9" t="s">
        <v>1976</v>
      </c>
      <c r="G183" s="11" t="n">
        <v>50</v>
      </c>
      <c r="H183" s="9" t="s">
        <v>73</v>
      </c>
      <c r="I183" s="9" t="s">
        <v>2026</v>
      </c>
      <c r="J183" s="9" t="s">
        <v>1977</v>
      </c>
      <c r="K183" s="9"/>
      <c r="L183" s="13" t="n">
        <v>1</v>
      </c>
      <c r="M183" s="13" t="s">
        <v>4223</v>
      </c>
      <c r="N183" s="13" t="s">
        <v>4224</v>
      </c>
      <c r="O183" s="13" t="s">
        <v>4225</v>
      </c>
      <c r="P183" s="13" t="s">
        <v>4226</v>
      </c>
      <c r="Q183" s="13" t="s">
        <v>4227</v>
      </c>
      <c r="R183" s="13" t="s">
        <v>4228</v>
      </c>
      <c r="S183" s="13" t="s">
        <v>4229</v>
      </c>
      <c r="T183" s="13" t="s">
        <v>4230</v>
      </c>
      <c r="U183" s="13" t="s">
        <v>4231</v>
      </c>
      <c r="V183" s="13" t="s">
        <v>4232</v>
      </c>
      <c r="W183" s="13"/>
      <c r="X183" s="13"/>
      <c r="Y183" s="13"/>
      <c r="Z183" s="14"/>
    </row>
    <row r="184" customFormat="false" ht="34.5" hidden="false" customHeight="true" outlineLevel="0" collapsed="false">
      <c r="A184" s="9" t="s">
        <v>4233</v>
      </c>
      <c r="B184" s="9" t="s">
        <v>260</v>
      </c>
      <c r="C184" s="9" t="s">
        <v>1785</v>
      </c>
      <c r="D184" s="9" t="s">
        <v>4234</v>
      </c>
      <c r="E184" s="9" t="s">
        <v>1140</v>
      </c>
      <c r="F184" s="9" t="s">
        <v>2002</v>
      </c>
      <c r="G184" s="11" t="n">
        <v>10</v>
      </c>
      <c r="H184" s="9" t="s">
        <v>73</v>
      </c>
      <c r="I184" s="9" t="s">
        <v>2026</v>
      </c>
      <c r="J184" s="9" t="s">
        <v>1977</v>
      </c>
      <c r="K184" s="9"/>
      <c r="L184" s="13" t="n">
        <v>1</v>
      </c>
      <c r="M184" s="13" t="s">
        <v>4235</v>
      </c>
      <c r="N184" s="13" t="s">
        <v>4236</v>
      </c>
      <c r="O184" s="13" t="s">
        <v>4237</v>
      </c>
      <c r="P184" s="13" t="s">
        <v>4238</v>
      </c>
      <c r="Q184" s="13" t="s">
        <v>4239</v>
      </c>
      <c r="R184" s="13" t="s">
        <v>4240</v>
      </c>
      <c r="S184" s="13" t="s">
        <v>4241</v>
      </c>
      <c r="T184" s="13" t="s">
        <v>4242</v>
      </c>
      <c r="U184" s="13" t="s">
        <v>4243</v>
      </c>
      <c r="V184" s="13" t="s">
        <v>2128</v>
      </c>
      <c r="W184" s="13"/>
      <c r="X184" s="13"/>
      <c r="Y184" s="13"/>
      <c r="Z184" s="14"/>
    </row>
    <row r="185" customFormat="false" ht="34.5" hidden="false" customHeight="true" outlineLevel="0" collapsed="false">
      <c r="A185" s="9" t="s">
        <v>4244</v>
      </c>
      <c r="B185" s="9" t="s">
        <v>260</v>
      </c>
      <c r="C185" s="9" t="s">
        <v>1785</v>
      </c>
      <c r="D185" s="9" t="s">
        <v>4245</v>
      </c>
      <c r="E185" s="9" t="s">
        <v>1139</v>
      </c>
      <c r="F185" s="9" t="s">
        <v>2002</v>
      </c>
      <c r="G185" s="11" t="n">
        <v>0</v>
      </c>
      <c r="H185" s="9" t="s">
        <v>73</v>
      </c>
      <c r="I185" s="9" t="s">
        <v>2026</v>
      </c>
      <c r="J185" s="9" t="s">
        <v>1977</v>
      </c>
      <c r="K185" s="9"/>
      <c r="L185" s="13" t="n">
        <v>1</v>
      </c>
      <c r="M185" s="13" t="s">
        <v>4246</v>
      </c>
      <c r="N185" s="13" t="s">
        <v>4247</v>
      </c>
      <c r="O185" s="13" t="s">
        <v>4248</v>
      </c>
      <c r="P185" s="13" t="s">
        <v>2145</v>
      </c>
      <c r="Q185" s="13" t="s">
        <v>2257</v>
      </c>
      <c r="R185" s="13" t="s">
        <v>2147</v>
      </c>
      <c r="S185" s="13" t="s">
        <v>4249</v>
      </c>
      <c r="T185" s="13" t="s">
        <v>2259</v>
      </c>
      <c r="U185" s="13" t="s">
        <v>4015</v>
      </c>
      <c r="V185" s="13" t="s">
        <v>2128</v>
      </c>
      <c r="W185" s="13"/>
      <c r="X185" s="13"/>
      <c r="Y185" s="13"/>
      <c r="Z185" s="14"/>
    </row>
    <row r="186" customFormat="false" ht="45.75" hidden="false" customHeight="true" outlineLevel="0" collapsed="false">
      <c r="A186" s="9" t="s">
        <v>4250</v>
      </c>
      <c r="B186" s="9" t="s">
        <v>260</v>
      </c>
      <c r="C186" s="9" t="s">
        <v>1785</v>
      </c>
      <c r="D186" s="9" t="s">
        <v>4251</v>
      </c>
      <c r="E186" s="9" t="s">
        <v>1135</v>
      </c>
      <c r="F186" s="9" t="s">
        <v>2002</v>
      </c>
      <c r="G186" s="11" t="n">
        <v>25</v>
      </c>
      <c r="H186" s="9" t="s">
        <v>73</v>
      </c>
      <c r="I186" s="9" t="s">
        <v>417</v>
      </c>
      <c r="J186" s="9" t="s">
        <v>1977</v>
      </c>
      <c r="K186" s="9"/>
      <c r="L186" s="13" t="n">
        <v>2</v>
      </c>
      <c r="M186" s="13" t="s">
        <v>4252</v>
      </c>
      <c r="N186" s="13" t="s">
        <v>4253</v>
      </c>
      <c r="O186" s="13" t="s">
        <v>4254</v>
      </c>
      <c r="P186" s="13" t="s">
        <v>4255</v>
      </c>
      <c r="Q186" s="13" t="s">
        <v>4256</v>
      </c>
      <c r="R186" s="13" t="s">
        <v>4257</v>
      </c>
      <c r="S186" s="13" t="s">
        <v>4258</v>
      </c>
      <c r="T186" s="13" t="s">
        <v>4259</v>
      </c>
      <c r="U186" s="13" t="s">
        <v>4260</v>
      </c>
      <c r="V186" s="13" t="s">
        <v>4261</v>
      </c>
      <c r="W186" s="13" t="s">
        <v>4221</v>
      </c>
      <c r="X186" s="13" t="s">
        <v>4262</v>
      </c>
      <c r="Y186" s="13" t="s">
        <v>4263</v>
      </c>
      <c r="Z186" s="14"/>
    </row>
    <row r="187" customFormat="false" ht="45.75" hidden="false" customHeight="true" outlineLevel="0" collapsed="false">
      <c r="A187" s="9" t="s">
        <v>4264</v>
      </c>
      <c r="B187" s="9" t="s">
        <v>260</v>
      </c>
      <c r="C187" s="9" t="s">
        <v>1785</v>
      </c>
      <c r="D187" s="9" t="s">
        <v>4265</v>
      </c>
      <c r="E187" s="9" t="s">
        <v>1136</v>
      </c>
      <c r="F187" s="9" t="s">
        <v>1976</v>
      </c>
      <c r="G187" s="11" t="n">
        <v>100</v>
      </c>
      <c r="H187" s="9" t="s">
        <v>73</v>
      </c>
      <c r="I187" s="9" t="s">
        <v>417</v>
      </c>
      <c r="J187" s="9" t="s">
        <v>1977</v>
      </c>
      <c r="K187" s="9"/>
      <c r="L187" s="13" t="n">
        <v>2</v>
      </c>
      <c r="M187" s="13" t="s">
        <v>4266</v>
      </c>
      <c r="N187" s="13" t="s">
        <v>4267</v>
      </c>
      <c r="O187" s="13" t="s">
        <v>4268</v>
      </c>
      <c r="P187" s="13" t="s">
        <v>4269</v>
      </c>
      <c r="Q187" s="13" t="s">
        <v>4270</v>
      </c>
      <c r="R187" s="13" t="s">
        <v>4271</v>
      </c>
      <c r="S187" s="13" t="s">
        <v>4272</v>
      </c>
      <c r="T187" s="13" t="s">
        <v>4273</v>
      </c>
      <c r="U187" s="13" t="s">
        <v>4274</v>
      </c>
      <c r="V187" s="13" t="s">
        <v>4275</v>
      </c>
      <c r="W187" s="13" t="s">
        <v>4276</v>
      </c>
      <c r="X187" s="13"/>
      <c r="Y187" s="13"/>
      <c r="Z187" s="14"/>
    </row>
    <row r="188" customFormat="false" ht="45.75" hidden="false" customHeight="true" outlineLevel="0" collapsed="false">
      <c r="A188" s="9" t="s">
        <v>4277</v>
      </c>
      <c r="B188" s="9" t="s">
        <v>260</v>
      </c>
      <c r="C188" s="9" t="s">
        <v>1785</v>
      </c>
      <c r="D188" s="9" t="s">
        <v>4278</v>
      </c>
      <c r="E188" s="9" t="s">
        <v>1137</v>
      </c>
      <c r="F188" s="9" t="s">
        <v>1976</v>
      </c>
      <c r="G188" s="11" t="n">
        <v>80</v>
      </c>
      <c r="H188" s="9" t="s">
        <v>73</v>
      </c>
      <c r="I188" s="9" t="s">
        <v>417</v>
      </c>
      <c r="J188" s="9" t="s">
        <v>1977</v>
      </c>
      <c r="K188" s="9"/>
      <c r="L188" s="13" t="n">
        <v>3</v>
      </c>
      <c r="M188" s="13" t="s">
        <v>4279</v>
      </c>
      <c r="N188" s="13" t="s">
        <v>4280</v>
      </c>
      <c r="O188" s="13" t="s">
        <v>4281</v>
      </c>
      <c r="P188" s="13" t="s">
        <v>4282</v>
      </c>
      <c r="Q188" s="13" t="s">
        <v>4283</v>
      </c>
      <c r="R188" s="13" t="s">
        <v>4284</v>
      </c>
      <c r="S188" s="13" t="s">
        <v>4285</v>
      </c>
      <c r="T188" s="13" t="s">
        <v>4286</v>
      </c>
      <c r="U188" s="13" t="s">
        <v>4287</v>
      </c>
      <c r="V188" s="13" t="s">
        <v>4288</v>
      </c>
      <c r="W188" s="13" t="s">
        <v>4264</v>
      </c>
      <c r="X188" s="13"/>
      <c r="Y188" s="13"/>
      <c r="Z188" s="14"/>
    </row>
    <row r="189" customFormat="false" ht="45.75" hidden="false" customHeight="true" outlineLevel="0" collapsed="false">
      <c r="A189" s="9" t="s">
        <v>4289</v>
      </c>
      <c r="B189" s="9" t="s">
        <v>260</v>
      </c>
      <c r="C189" s="9" t="s">
        <v>1785</v>
      </c>
      <c r="D189" s="9" t="s">
        <v>4290</v>
      </c>
      <c r="E189" s="9" t="s">
        <v>1133</v>
      </c>
      <c r="F189" s="9" t="s">
        <v>1976</v>
      </c>
      <c r="G189" s="11" t="n">
        <v>100</v>
      </c>
      <c r="H189" s="9" t="s">
        <v>73</v>
      </c>
      <c r="I189" s="9" t="s">
        <v>417</v>
      </c>
      <c r="J189" s="9" t="s">
        <v>2842</v>
      </c>
      <c r="K189" s="9" t="s">
        <v>4291</v>
      </c>
      <c r="L189" s="13" t="n">
        <v>4</v>
      </c>
      <c r="M189" s="13" t="s">
        <v>4292</v>
      </c>
      <c r="N189" s="13" t="s">
        <v>4293</v>
      </c>
      <c r="O189" s="13" t="s">
        <v>4294</v>
      </c>
      <c r="P189" s="13" t="s">
        <v>4295</v>
      </c>
      <c r="Q189" s="13" t="s">
        <v>4296</v>
      </c>
      <c r="R189" s="13" t="s">
        <v>847</v>
      </c>
      <c r="S189" s="13" t="s">
        <v>4297</v>
      </c>
      <c r="T189" s="13" t="s">
        <v>4298</v>
      </c>
      <c r="U189" s="13" t="s">
        <v>4299</v>
      </c>
      <c r="V189" s="13" t="s">
        <v>2839</v>
      </c>
      <c r="W189" s="13" t="s">
        <v>4277</v>
      </c>
      <c r="X189" s="13" t="s">
        <v>4300</v>
      </c>
      <c r="Y189" s="13" t="s">
        <v>4301</v>
      </c>
      <c r="Z189" s="14"/>
    </row>
    <row r="190" customFormat="false" ht="45.75" hidden="false" customHeight="true" outlineLevel="0" collapsed="false">
      <c r="A190" s="9" t="s">
        <v>4302</v>
      </c>
      <c r="B190" s="9" t="s">
        <v>277</v>
      </c>
      <c r="C190" s="9" t="s">
        <v>1797</v>
      </c>
      <c r="D190" s="9" t="s">
        <v>4303</v>
      </c>
      <c r="E190" s="9" t="s">
        <v>1134</v>
      </c>
      <c r="F190" s="9" t="s">
        <v>1976</v>
      </c>
      <c r="G190" s="11" t="n">
        <v>60</v>
      </c>
      <c r="H190" s="9" t="s">
        <v>73</v>
      </c>
      <c r="I190" s="9" t="s">
        <v>379</v>
      </c>
      <c r="J190" s="9" t="s">
        <v>1977</v>
      </c>
      <c r="K190" s="9"/>
      <c r="L190" s="13" t="n">
        <v>1</v>
      </c>
      <c r="M190" s="13" t="s">
        <v>4304</v>
      </c>
      <c r="N190" s="13" t="s">
        <v>4305</v>
      </c>
      <c r="O190" s="13" t="s">
        <v>4306</v>
      </c>
      <c r="P190" s="13" t="s">
        <v>4307</v>
      </c>
      <c r="Q190" s="13" t="s">
        <v>4308</v>
      </c>
      <c r="R190" s="13" t="s">
        <v>4309</v>
      </c>
      <c r="S190" s="13" t="s">
        <v>4310</v>
      </c>
      <c r="T190" s="13" t="s">
        <v>4311</v>
      </c>
      <c r="U190" s="13" t="s">
        <v>4312</v>
      </c>
      <c r="V190" s="13" t="s">
        <v>4313</v>
      </c>
      <c r="W190" s="13"/>
      <c r="X190" s="13"/>
      <c r="Y190" s="13"/>
      <c r="Z190" s="14"/>
    </row>
    <row r="191" customFormat="false" ht="57" hidden="false" customHeight="true" outlineLevel="0" collapsed="false">
      <c r="A191" s="9" t="s">
        <v>4314</v>
      </c>
      <c r="B191" s="9" t="s">
        <v>277</v>
      </c>
      <c r="C191" s="9" t="s">
        <v>1797</v>
      </c>
      <c r="D191" s="9" t="s">
        <v>4315</v>
      </c>
      <c r="E191" s="9" t="s">
        <v>1135</v>
      </c>
      <c r="F191" s="9" t="s">
        <v>2002</v>
      </c>
      <c r="G191" s="11" t="n">
        <v>20</v>
      </c>
      <c r="H191" s="9" t="s">
        <v>73</v>
      </c>
      <c r="I191" s="9" t="s">
        <v>379</v>
      </c>
      <c r="J191" s="9" t="s">
        <v>1977</v>
      </c>
      <c r="K191" s="9"/>
      <c r="L191" s="13" t="n">
        <v>1</v>
      </c>
      <c r="M191" s="13" t="s">
        <v>4316</v>
      </c>
      <c r="N191" s="13" t="s">
        <v>4317</v>
      </c>
      <c r="O191" s="13" t="s">
        <v>4318</v>
      </c>
      <c r="P191" s="13" t="s">
        <v>4319</v>
      </c>
      <c r="Q191" s="13" t="s">
        <v>4320</v>
      </c>
      <c r="R191" s="13" t="s">
        <v>4321</v>
      </c>
      <c r="S191" s="13" t="s">
        <v>4322</v>
      </c>
      <c r="T191" s="13" t="s">
        <v>4323</v>
      </c>
      <c r="U191" s="13" t="s">
        <v>4324</v>
      </c>
      <c r="V191" s="13" t="s">
        <v>4325</v>
      </c>
      <c r="W191" s="13" t="s">
        <v>4302</v>
      </c>
      <c r="X191" s="13"/>
      <c r="Y191" s="13"/>
      <c r="Z191" s="14"/>
    </row>
    <row r="192" customFormat="false" ht="34.5" hidden="false" customHeight="true" outlineLevel="0" collapsed="false">
      <c r="A192" s="9" t="s">
        <v>4326</v>
      </c>
      <c r="B192" s="9" t="s">
        <v>277</v>
      </c>
      <c r="C192" s="9" t="s">
        <v>1797</v>
      </c>
      <c r="D192" s="9" t="s">
        <v>4327</v>
      </c>
      <c r="E192" s="9" t="s">
        <v>1135</v>
      </c>
      <c r="F192" s="9" t="s">
        <v>2002</v>
      </c>
      <c r="G192" s="11" t="n">
        <v>20</v>
      </c>
      <c r="H192" s="9" t="s">
        <v>73</v>
      </c>
      <c r="I192" s="9" t="s">
        <v>379</v>
      </c>
      <c r="J192" s="9" t="s">
        <v>1977</v>
      </c>
      <c r="K192" s="9"/>
      <c r="L192" s="13" t="n">
        <v>1</v>
      </c>
      <c r="M192" s="13" t="s">
        <v>4328</v>
      </c>
      <c r="N192" s="13" t="s">
        <v>4329</v>
      </c>
      <c r="O192" s="13" t="s">
        <v>4330</v>
      </c>
      <c r="P192" s="13" t="s">
        <v>4319</v>
      </c>
      <c r="Q192" s="13" t="s">
        <v>4331</v>
      </c>
      <c r="R192" s="13" t="s">
        <v>4321</v>
      </c>
      <c r="S192" s="13" t="s">
        <v>4332</v>
      </c>
      <c r="T192" s="13" t="s">
        <v>4333</v>
      </c>
      <c r="U192" s="13" t="s">
        <v>4334</v>
      </c>
      <c r="V192" s="13" t="s">
        <v>4325</v>
      </c>
      <c r="W192" s="13" t="s">
        <v>4302</v>
      </c>
      <c r="X192" s="13"/>
      <c r="Y192" s="13"/>
      <c r="Z192" s="14"/>
    </row>
    <row r="193" customFormat="false" ht="57" hidden="false" customHeight="true" outlineLevel="0" collapsed="false">
      <c r="A193" s="9" t="s">
        <v>4335</v>
      </c>
      <c r="B193" s="9" t="s">
        <v>277</v>
      </c>
      <c r="C193" s="9" t="s">
        <v>1797</v>
      </c>
      <c r="D193" s="9" t="s">
        <v>4336</v>
      </c>
      <c r="E193" s="9" t="s">
        <v>1135</v>
      </c>
      <c r="F193" s="9" t="s">
        <v>2002</v>
      </c>
      <c r="G193" s="11" t="n">
        <v>20</v>
      </c>
      <c r="H193" s="9" t="s">
        <v>73</v>
      </c>
      <c r="I193" s="9" t="s">
        <v>2026</v>
      </c>
      <c r="J193" s="9" t="s">
        <v>1977</v>
      </c>
      <c r="K193" s="9"/>
      <c r="L193" s="13" t="n">
        <v>1</v>
      </c>
      <c r="M193" s="13" t="s">
        <v>4337</v>
      </c>
      <c r="N193" s="13" t="s">
        <v>4338</v>
      </c>
      <c r="O193" s="13" t="s">
        <v>4339</v>
      </c>
      <c r="P193" s="13" t="s">
        <v>4340</v>
      </c>
      <c r="Q193" s="13" t="s">
        <v>4341</v>
      </c>
      <c r="R193" s="13" t="s">
        <v>4342</v>
      </c>
      <c r="S193" s="13" t="s">
        <v>4322</v>
      </c>
      <c r="T193" s="13" t="s">
        <v>4343</v>
      </c>
      <c r="U193" s="13" t="s">
        <v>4334</v>
      </c>
      <c r="V193" s="13" t="s">
        <v>4325</v>
      </c>
      <c r="W193" s="13" t="s">
        <v>4302</v>
      </c>
      <c r="X193" s="13" t="s">
        <v>4344</v>
      </c>
      <c r="Y193" s="13" t="s">
        <v>4345</v>
      </c>
      <c r="Z193" s="14"/>
    </row>
    <row r="194" customFormat="false" ht="57" hidden="false" customHeight="true" outlineLevel="0" collapsed="false">
      <c r="A194" s="9" t="s">
        <v>4346</v>
      </c>
      <c r="B194" s="9" t="s">
        <v>277</v>
      </c>
      <c r="C194" s="9" t="s">
        <v>1797</v>
      </c>
      <c r="D194" s="9" t="s">
        <v>4347</v>
      </c>
      <c r="E194" s="9" t="s">
        <v>1135</v>
      </c>
      <c r="F194" s="9" t="s">
        <v>1976</v>
      </c>
      <c r="G194" s="11" t="n">
        <v>60</v>
      </c>
      <c r="H194" s="9" t="s">
        <v>73</v>
      </c>
      <c r="I194" s="9" t="s">
        <v>2026</v>
      </c>
      <c r="J194" s="9" t="s">
        <v>1977</v>
      </c>
      <c r="K194" s="9"/>
      <c r="L194" s="13" t="n">
        <v>1</v>
      </c>
      <c r="M194" s="13" t="s">
        <v>4348</v>
      </c>
      <c r="N194" s="13" t="s">
        <v>4349</v>
      </c>
      <c r="O194" s="13" t="s">
        <v>4350</v>
      </c>
      <c r="P194" s="13" t="s">
        <v>4351</v>
      </c>
      <c r="Q194" s="13" t="s">
        <v>4352</v>
      </c>
      <c r="R194" s="13" t="s">
        <v>4342</v>
      </c>
      <c r="S194" s="13" t="s">
        <v>4353</v>
      </c>
      <c r="T194" s="13" t="s">
        <v>4354</v>
      </c>
      <c r="U194" s="13" t="s">
        <v>4355</v>
      </c>
      <c r="V194" s="13" t="s">
        <v>4356</v>
      </c>
      <c r="W194" s="13" t="s">
        <v>4302</v>
      </c>
      <c r="X194" s="13" t="s">
        <v>4357</v>
      </c>
      <c r="Y194" s="13" t="s">
        <v>4358</v>
      </c>
      <c r="Z194" s="14"/>
    </row>
    <row r="195" customFormat="false" ht="45.75" hidden="false" customHeight="true" outlineLevel="0" collapsed="false">
      <c r="A195" s="9" t="s">
        <v>4359</v>
      </c>
      <c r="B195" s="9" t="s">
        <v>277</v>
      </c>
      <c r="C195" s="9" t="s">
        <v>1797</v>
      </c>
      <c r="D195" s="9" t="s">
        <v>4360</v>
      </c>
      <c r="E195" s="9" t="s">
        <v>1134</v>
      </c>
      <c r="F195" s="9" t="s">
        <v>2002</v>
      </c>
      <c r="G195" s="11" t="n">
        <v>30</v>
      </c>
      <c r="H195" s="9" t="s">
        <v>73</v>
      </c>
      <c r="I195" s="9" t="s">
        <v>2026</v>
      </c>
      <c r="J195" s="9" t="s">
        <v>1977</v>
      </c>
      <c r="K195" s="9"/>
      <c r="L195" s="13" t="n">
        <v>1</v>
      </c>
      <c r="M195" s="13" t="s">
        <v>4361</v>
      </c>
      <c r="N195" s="13" t="s">
        <v>4362</v>
      </c>
      <c r="O195" s="13" t="s">
        <v>4363</v>
      </c>
      <c r="P195" s="13" t="s">
        <v>4364</v>
      </c>
      <c r="Q195" s="13" t="s">
        <v>4365</v>
      </c>
      <c r="R195" s="13" t="s">
        <v>4342</v>
      </c>
      <c r="S195" s="13" t="s">
        <v>4366</v>
      </c>
      <c r="T195" s="13" t="s">
        <v>4367</v>
      </c>
      <c r="U195" s="13" t="s">
        <v>4368</v>
      </c>
      <c r="V195" s="13" t="s">
        <v>4369</v>
      </c>
      <c r="W195" s="13" t="s">
        <v>4302</v>
      </c>
      <c r="X195" s="13"/>
      <c r="Y195" s="13"/>
      <c r="Z195" s="14"/>
    </row>
    <row r="196" customFormat="false" ht="45.75" hidden="false" customHeight="true" outlineLevel="0" collapsed="false">
      <c r="A196" s="9" t="s">
        <v>4370</v>
      </c>
      <c r="B196" s="9" t="s">
        <v>277</v>
      </c>
      <c r="C196" s="9" t="s">
        <v>1797</v>
      </c>
      <c r="D196" s="9" t="s">
        <v>4371</v>
      </c>
      <c r="E196" s="9" t="s">
        <v>1136</v>
      </c>
      <c r="F196" s="9" t="s">
        <v>1976</v>
      </c>
      <c r="G196" s="11" t="n">
        <v>60</v>
      </c>
      <c r="H196" s="9" t="s">
        <v>73</v>
      </c>
      <c r="I196" s="9" t="s">
        <v>2026</v>
      </c>
      <c r="J196" s="9" t="s">
        <v>1977</v>
      </c>
      <c r="K196" s="9"/>
      <c r="L196" s="13" t="n">
        <v>1</v>
      </c>
      <c r="M196" s="13" t="s">
        <v>4372</v>
      </c>
      <c r="N196" s="13" t="s">
        <v>4373</v>
      </c>
      <c r="O196" s="13" t="s">
        <v>4374</v>
      </c>
      <c r="P196" s="13" t="s">
        <v>4375</v>
      </c>
      <c r="Q196" s="13" t="s">
        <v>4376</v>
      </c>
      <c r="R196" s="13" t="s">
        <v>4377</v>
      </c>
      <c r="S196" s="13" t="s">
        <v>4378</v>
      </c>
      <c r="T196" s="13" t="s">
        <v>4379</v>
      </c>
      <c r="U196" s="13" t="s">
        <v>4380</v>
      </c>
      <c r="V196" s="13" t="s">
        <v>4381</v>
      </c>
      <c r="W196" s="13" t="s">
        <v>4382</v>
      </c>
      <c r="X196" s="13"/>
      <c r="Y196" s="13"/>
      <c r="Z196" s="14"/>
    </row>
    <row r="197" customFormat="false" ht="45.75" hidden="false" customHeight="true" outlineLevel="0" collapsed="false">
      <c r="A197" s="9" t="s">
        <v>4383</v>
      </c>
      <c r="B197" s="9" t="s">
        <v>277</v>
      </c>
      <c r="C197" s="9" t="s">
        <v>1797</v>
      </c>
      <c r="D197" s="9" t="s">
        <v>4384</v>
      </c>
      <c r="E197" s="9" t="s">
        <v>1137</v>
      </c>
      <c r="F197" s="9" t="s">
        <v>1976</v>
      </c>
      <c r="G197" s="11" t="n">
        <v>80</v>
      </c>
      <c r="H197" s="9" t="s">
        <v>73</v>
      </c>
      <c r="I197" s="9" t="s">
        <v>2026</v>
      </c>
      <c r="J197" s="9" t="s">
        <v>1977</v>
      </c>
      <c r="K197" s="9"/>
      <c r="L197" s="13" t="n">
        <v>1</v>
      </c>
      <c r="M197" s="13" t="s">
        <v>4385</v>
      </c>
      <c r="N197" s="13" t="s">
        <v>4386</v>
      </c>
      <c r="O197" s="13" t="s">
        <v>4387</v>
      </c>
      <c r="P197" s="13" t="s">
        <v>4388</v>
      </c>
      <c r="Q197" s="13" t="s">
        <v>4389</v>
      </c>
      <c r="R197" s="13" t="s">
        <v>4390</v>
      </c>
      <c r="S197" s="13" t="s">
        <v>4391</v>
      </c>
      <c r="T197" s="13" t="s">
        <v>4392</v>
      </c>
      <c r="U197" s="13" t="s">
        <v>4393</v>
      </c>
      <c r="V197" s="13" t="s">
        <v>4394</v>
      </c>
      <c r="W197" s="13" t="s">
        <v>4395</v>
      </c>
      <c r="X197" s="13" t="s">
        <v>4396</v>
      </c>
      <c r="Y197" s="13" t="s">
        <v>4397</v>
      </c>
      <c r="Z197" s="14"/>
    </row>
    <row r="198" customFormat="false" ht="45.75" hidden="false" customHeight="true" outlineLevel="0" collapsed="false">
      <c r="A198" s="9" t="s">
        <v>4398</v>
      </c>
      <c r="B198" s="9" t="s">
        <v>277</v>
      </c>
      <c r="C198" s="9" t="s">
        <v>1797</v>
      </c>
      <c r="D198" s="9" t="s">
        <v>4399</v>
      </c>
      <c r="E198" s="9" t="s">
        <v>1133</v>
      </c>
      <c r="F198" s="9" t="s">
        <v>1976</v>
      </c>
      <c r="G198" s="11" t="n">
        <v>60</v>
      </c>
      <c r="H198" s="9" t="s">
        <v>73</v>
      </c>
      <c r="I198" s="9" t="s">
        <v>2026</v>
      </c>
      <c r="J198" s="9" t="s">
        <v>1977</v>
      </c>
      <c r="K198" s="9"/>
      <c r="L198" s="13" t="n">
        <v>1</v>
      </c>
      <c r="M198" s="13" t="s">
        <v>4400</v>
      </c>
      <c r="N198" s="13" t="s">
        <v>4401</v>
      </c>
      <c r="O198" s="13" t="s">
        <v>4402</v>
      </c>
      <c r="P198" s="13" t="s">
        <v>4403</v>
      </c>
      <c r="Q198" s="13" t="s">
        <v>4404</v>
      </c>
      <c r="R198" s="13" t="s">
        <v>4405</v>
      </c>
      <c r="S198" s="13" t="s">
        <v>4406</v>
      </c>
      <c r="T198" s="13" t="s">
        <v>4407</v>
      </c>
      <c r="U198" s="13" t="s">
        <v>4408</v>
      </c>
      <c r="V198" s="13" t="s">
        <v>4409</v>
      </c>
      <c r="W198" s="13"/>
      <c r="X198" s="13"/>
      <c r="Y198" s="13"/>
      <c r="Z198" s="14"/>
    </row>
    <row r="199" customFormat="false" ht="45.75" hidden="false" customHeight="true" outlineLevel="0" collapsed="false">
      <c r="A199" s="9" t="s">
        <v>4410</v>
      </c>
      <c r="B199" s="9" t="s">
        <v>277</v>
      </c>
      <c r="C199" s="9" t="s">
        <v>1797</v>
      </c>
      <c r="D199" s="9" t="s">
        <v>4411</v>
      </c>
      <c r="E199" s="9" t="s">
        <v>1138</v>
      </c>
      <c r="F199" s="9" t="s">
        <v>1976</v>
      </c>
      <c r="G199" s="11" t="n">
        <v>50</v>
      </c>
      <c r="H199" s="9" t="s">
        <v>73</v>
      </c>
      <c r="I199" s="9" t="s">
        <v>2026</v>
      </c>
      <c r="J199" s="9" t="s">
        <v>1977</v>
      </c>
      <c r="K199" s="9"/>
      <c r="L199" s="13" t="n">
        <v>1</v>
      </c>
      <c r="M199" s="13" t="s">
        <v>4412</v>
      </c>
      <c r="N199" s="13" t="s">
        <v>4413</v>
      </c>
      <c r="O199" s="13" t="s">
        <v>4414</v>
      </c>
      <c r="P199" s="13" t="s">
        <v>4415</v>
      </c>
      <c r="Q199" s="13" t="s">
        <v>4416</v>
      </c>
      <c r="R199" s="13" t="s">
        <v>4417</v>
      </c>
      <c r="S199" s="13" t="s">
        <v>4418</v>
      </c>
      <c r="T199" s="13" t="s">
        <v>4419</v>
      </c>
      <c r="U199" s="13" t="s">
        <v>4420</v>
      </c>
      <c r="V199" s="13" t="s">
        <v>4421</v>
      </c>
      <c r="W199" s="13" t="s">
        <v>4370</v>
      </c>
      <c r="X199" s="13"/>
      <c r="Y199" s="13"/>
      <c r="Z199" s="14"/>
    </row>
    <row r="200" customFormat="false" ht="34.5" hidden="false" customHeight="true" outlineLevel="0" collapsed="false">
      <c r="A200" s="9" t="s">
        <v>4422</v>
      </c>
      <c r="B200" s="9" t="s">
        <v>277</v>
      </c>
      <c r="C200" s="9" t="s">
        <v>1797</v>
      </c>
      <c r="D200" s="9" t="s">
        <v>4423</v>
      </c>
      <c r="E200" s="9" t="s">
        <v>1140</v>
      </c>
      <c r="F200" s="9" t="s">
        <v>2002</v>
      </c>
      <c r="G200" s="11" t="n">
        <v>10</v>
      </c>
      <c r="H200" s="9" t="s">
        <v>73</v>
      </c>
      <c r="I200" s="9" t="s">
        <v>2026</v>
      </c>
      <c r="J200" s="9" t="s">
        <v>1977</v>
      </c>
      <c r="K200" s="9"/>
      <c r="L200" s="13" t="n">
        <v>1</v>
      </c>
      <c r="M200" s="13" t="s">
        <v>4424</v>
      </c>
      <c r="N200" s="13" t="s">
        <v>4425</v>
      </c>
      <c r="O200" s="13" t="s">
        <v>4426</v>
      </c>
      <c r="P200" s="13" t="s">
        <v>4427</v>
      </c>
      <c r="Q200" s="13" t="s">
        <v>4428</v>
      </c>
      <c r="R200" s="13" t="s">
        <v>4429</v>
      </c>
      <c r="S200" s="13" t="s">
        <v>4430</v>
      </c>
      <c r="T200" s="13" t="s">
        <v>4431</v>
      </c>
      <c r="U200" s="13" t="s">
        <v>4432</v>
      </c>
      <c r="V200" s="13" t="s">
        <v>2128</v>
      </c>
      <c r="W200" s="13"/>
      <c r="X200" s="13"/>
      <c r="Y200" s="13"/>
      <c r="Z200" s="14"/>
    </row>
    <row r="201" customFormat="false" ht="34.5" hidden="false" customHeight="true" outlineLevel="0" collapsed="false">
      <c r="A201" s="9" t="s">
        <v>4433</v>
      </c>
      <c r="B201" s="9" t="s">
        <v>277</v>
      </c>
      <c r="C201" s="9" t="s">
        <v>1797</v>
      </c>
      <c r="D201" s="9" t="s">
        <v>4434</v>
      </c>
      <c r="E201" s="9" t="s">
        <v>1139</v>
      </c>
      <c r="F201" s="9" t="s">
        <v>2002</v>
      </c>
      <c r="G201" s="11" t="n">
        <v>0</v>
      </c>
      <c r="H201" s="9" t="s">
        <v>73</v>
      </c>
      <c r="I201" s="9" t="s">
        <v>2026</v>
      </c>
      <c r="J201" s="9" t="s">
        <v>1977</v>
      </c>
      <c r="K201" s="9"/>
      <c r="L201" s="13" t="n">
        <v>1</v>
      </c>
      <c r="M201" s="13" t="s">
        <v>4435</v>
      </c>
      <c r="N201" s="13" t="s">
        <v>4436</v>
      </c>
      <c r="O201" s="13" t="s">
        <v>4248</v>
      </c>
      <c r="P201" s="13" t="s">
        <v>2145</v>
      </c>
      <c r="Q201" s="13" t="s">
        <v>2257</v>
      </c>
      <c r="R201" s="13" t="s">
        <v>2147</v>
      </c>
      <c r="S201" s="13" t="s">
        <v>4437</v>
      </c>
      <c r="T201" s="13" t="s">
        <v>2259</v>
      </c>
      <c r="U201" s="13" t="s">
        <v>4015</v>
      </c>
      <c r="V201" s="13" t="s">
        <v>2128</v>
      </c>
      <c r="W201" s="13"/>
      <c r="X201" s="13"/>
      <c r="Y201" s="13"/>
      <c r="Z201" s="14"/>
    </row>
    <row r="202" customFormat="false" ht="45.75" hidden="false" customHeight="true" outlineLevel="0" collapsed="false">
      <c r="A202" s="9" t="s">
        <v>4438</v>
      </c>
      <c r="B202" s="9" t="s">
        <v>277</v>
      </c>
      <c r="C202" s="9" t="s">
        <v>1797</v>
      </c>
      <c r="D202" s="9" t="s">
        <v>4439</v>
      </c>
      <c r="E202" s="9" t="s">
        <v>1137</v>
      </c>
      <c r="F202" s="9" t="s">
        <v>2312</v>
      </c>
      <c r="G202" s="11" t="n">
        <v>300</v>
      </c>
      <c r="H202" s="9" t="s">
        <v>73</v>
      </c>
      <c r="I202" s="9" t="s">
        <v>417</v>
      </c>
      <c r="J202" s="9" t="s">
        <v>1977</v>
      </c>
      <c r="K202" s="9"/>
      <c r="L202" s="13" t="n">
        <v>2</v>
      </c>
      <c r="M202" s="13" t="s">
        <v>4385</v>
      </c>
      <c r="N202" s="13" t="s">
        <v>4440</v>
      </c>
      <c r="O202" s="13" t="s">
        <v>4441</v>
      </c>
      <c r="P202" s="13" t="s">
        <v>4442</v>
      </c>
      <c r="Q202" s="13" t="s">
        <v>4443</v>
      </c>
      <c r="R202" s="13" t="s">
        <v>4444</v>
      </c>
      <c r="S202" s="13" t="s">
        <v>4445</v>
      </c>
      <c r="T202" s="13" t="s">
        <v>4446</v>
      </c>
      <c r="U202" s="13" t="s">
        <v>4447</v>
      </c>
      <c r="V202" s="13" t="s">
        <v>4448</v>
      </c>
      <c r="W202" s="13" t="s">
        <v>4449</v>
      </c>
      <c r="X202" s="13"/>
      <c r="Y202" s="13"/>
      <c r="Z202" s="14"/>
    </row>
    <row r="203" customFormat="false" ht="57" hidden="false" customHeight="true" outlineLevel="0" collapsed="false">
      <c r="A203" s="9" t="s">
        <v>4450</v>
      </c>
      <c r="B203" s="9" t="s">
        <v>277</v>
      </c>
      <c r="C203" s="9" t="s">
        <v>1797</v>
      </c>
      <c r="D203" s="9" t="s">
        <v>4451</v>
      </c>
      <c r="E203" s="9" t="s">
        <v>1136</v>
      </c>
      <c r="F203" s="9" t="s">
        <v>2312</v>
      </c>
      <c r="G203" s="11" t="n">
        <v>300</v>
      </c>
      <c r="H203" s="9" t="s">
        <v>73</v>
      </c>
      <c r="I203" s="9" t="s">
        <v>417</v>
      </c>
      <c r="J203" s="9" t="s">
        <v>1977</v>
      </c>
      <c r="K203" s="9"/>
      <c r="L203" s="13" t="n">
        <v>3</v>
      </c>
      <c r="M203" s="13" t="s">
        <v>4452</v>
      </c>
      <c r="N203" s="13" t="s">
        <v>4453</v>
      </c>
      <c r="O203" s="13" t="s">
        <v>4454</v>
      </c>
      <c r="P203" s="13" t="s">
        <v>4455</v>
      </c>
      <c r="Q203" s="13" t="s">
        <v>4456</v>
      </c>
      <c r="R203" s="13" t="s">
        <v>4457</v>
      </c>
      <c r="S203" s="13" t="s">
        <v>2585</v>
      </c>
      <c r="T203" s="13" t="s">
        <v>4458</v>
      </c>
      <c r="U203" s="13" t="s">
        <v>4459</v>
      </c>
      <c r="V203" s="13" t="s">
        <v>3050</v>
      </c>
      <c r="W203" s="13" t="s">
        <v>4460</v>
      </c>
      <c r="X203" s="13" t="s">
        <v>4461</v>
      </c>
      <c r="Y203" s="13" t="s">
        <v>4462</v>
      </c>
      <c r="Z203" s="14"/>
    </row>
    <row r="204" customFormat="false" ht="45.75" hidden="false" customHeight="true" outlineLevel="0" collapsed="false">
      <c r="A204" s="9" t="s">
        <v>4463</v>
      </c>
      <c r="B204" s="9" t="s">
        <v>277</v>
      </c>
      <c r="C204" s="9" t="s">
        <v>1797</v>
      </c>
      <c r="D204" s="9" t="s">
        <v>4464</v>
      </c>
      <c r="E204" s="9" t="s">
        <v>1138</v>
      </c>
      <c r="F204" s="9" t="s">
        <v>1976</v>
      </c>
      <c r="G204" s="11" t="n">
        <v>60</v>
      </c>
      <c r="H204" s="9" t="s">
        <v>73</v>
      </c>
      <c r="I204" s="9" t="s">
        <v>417</v>
      </c>
      <c r="J204" s="9" t="s">
        <v>2842</v>
      </c>
      <c r="K204" s="9" t="s">
        <v>4465</v>
      </c>
      <c r="L204" s="13" t="n">
        <v>4</v>
      </c>
      <c r="M204" s="13" t="s">
        <v>4466</v>
      </c>
      <c r="N204" s="13" t="s">
        <v>4467</v>
      </c>
      <c r="O204" s="13" t="s">
        <v>4468</v>
      </c>
      <c r="P204" s="13" t="s">
        <v>4469</v>
      </c>
      <c r="Q204" s="13" t="s">
        <v>4470</v>
      </c>
      <c r="R204" s="13" t="s">
        <v>4471</v>
      </c>
      <c r="S204" s="13" t="s">
        <v>4472</v>
      </c>
      <c r="T204" s="13" t="s">
        <v>4473</v>
      </c>
      <c r="U204" s="13" t="s">
        <v>4474</v>
      </c>
      <c r="V204" s="13" t="s">
        <v>3124</v>
      </c>
      <c r="W204" s="13" t="s">
        <v>4450</v>
      </c>
      <c r="X204" s="13"/>
      <c r="Y204" s="13"/>
      <c r="Z204" s="14"/>
    </row>
    <row r="205" customFormat="false" ht="34.5" hidden="false" customHeight="true" outlineLevel="0" collapsed="false">
      <c r="A205" s="9" t="s">
        <v>4475</v>
      </c>
      <c r="B205" s="9" t="s">
        <v>294</v>
      </c>
      <c r="C205" s="9" t="s">
        <v>1809</v>
      </c>
      <c r="D205" s="9" t="s">
        <v>4476</v>
      </c>
      <c r="E205" s="9" t="s">
        <v>1134</v>
      </c>
      <c r="F205" s="9" t="s">
        <v>1976</v>
      </c>
      <c r="G205" s="11" t="n">
        <v>60</v>
      </c>
      <c r="H205" s="9" t="s">
        <v>73</v>
      </c>
      <c r="I205" s="9" t="s">
        <v>379</v>
      </c>
      <c r="J205" s="9" t="s">
        <v>1977</v>
      </c>
      <c r="K205" s="9"/>
      <c r="L205" s="13" t="n">
        <v>1</v>
      </c>
      <c r="M205" s="13" t="s">
        <v>3725</v>
      </c>
      <c r="N205" s="13" t="s">
        <v>4477</v>
      </c>
      <c r="O205" s="13" t="s">
        <v>4478</v>
      </c>
      <c r="P205" s="13" t="s">
        <v>4479</v>
      </c>
      <c r="Q205" s="13" t="s">
        <v>4480</v>
      </c>
      <c r="R205" s="13" t="s">
        <v>4481</v>
      </c>
      <c r="S205" s="13" t="s">
        <v>4482</v>
      </c>
      <c r="T205" s="13" t="s">
        <v>4483</v>
      </c>
      <c r="U205" s="13" t="s">
        <v>4484</v>
      </c>
      <c r="V205" s="13" t="s">
        <v>3733</v>
      </c>
      <c r="W205" s="13"/>
      <c r="X205" s="13"/>
      <c r="Y205" s="13"/>
      <c r="Z205" s="14"/>
    </row>
    <row r="206" customFormat="false" ht="45.75" hidden="false" customHeight="true" outlineLevel="0" collapsed="false">
      <c r="A206" s="9" t="s">
        <v>4485</v>
      </c>
      <c r="B206" s="9" t="s">
        <v>294</v>
      </c>
      <c r="C206" s="9" t="s">
        <v>1809</v>
      </c>
      <c r="D206" s="9" t="s">
        <v>4486</v>
      </c>
      <c r="E206" s="9" t="s">
        <v>1140</v>
      </c>
      <c r="F206" s="9" t="s">
        <v>1976</v>
      </c>
      <c r="G206" s="11" t="n">
        <v>40</v>
      </c>
      <c r="H206" s="9" t="s">
        <v>73</v>
      </c>
      <c r="I206" s="9" t="s">
        <v>379</v>
      </c>
      <c r="J206" s="9" t="s">
        <v>2842</v>
      </c>
      <c r="K206" s="9" t="s">
        <v>4487</v>
      </c>
      <c r="L206" s="13" t="n">
        <v>1</v>
      </c>
      <c r="M206" s="13" t="s">
        <v>4488</v>
      </c>
      <c r="N206" s="13" t="s">
        <v>4489</v>
      </c>
      <c r="O206" s="13" t="s">
        <v>4490</v>
      </c>
      <c r="P206" s="13" t="s">
        <v>4491</v>
      </c>
      <c r="Q206" s="13" t="s">
        <v>4492</v>
      </c>
      <c r="R206" s="13" t="s">
        <v>4493</v>
      </c>
      <c r="S206" s="13" t="s">
        <v>4494</v>
      </c>
      <c r="T206" s="13" t="s">
        <v>4495</v>
      </c>
      <c r="U206" s="13" t="s">
        <v>4496</v>
      </c>
      <c r="V206" s="13" t="s">
        <v>2128</v>
      </c>
      <c r="W206" s="13" t="s">
        <v>4475</v>
      </c>
      <c r="X206" s="13" t="s">
        <v>4497</v>
      </c>
      <c r="Y206" s="13" t="s">
        <v>4498</v>
      </c>
      <c r="Z206" s="14"/>
    </row>
    <row r="207" customFormat="false" ht="34.5" hidden="false" customHeight="true" outlineLevel="0" collapsed="false">
      <c r="A207" s="9" t="s">
        <v>4499</v>
      </c>
      <c r="B207" s="9" t="s">
        <v>294</v>
      </c>
      <c r="C207" s="9" t="s">
        <v>1809</v>
      </c>
      <c r="D207" s="9" t="s">
        <v>4500</v>
      </c>
      <c r="E207" s="9" t="s">
        <v>1135</v>
      </c>
      <c r="F207" s="9" t="s">
        <v>1976</v>
      </c>
      <c r="G207" s="11" t="n">
        <v>80</v>
      </c>
      <c r="H207" s="9" t="s">
        <v>73</v>
      </c>
      <c r="I207" s="9" t="s">
        <v>379</v>
      </c>
      <c r="J207" s="9" t="s">
        <v>1977</v>
      </c>
      <c r="K207" s="9"/>
      <c r="L207" s="13" t="n">
        <v>2</v>
      </c>
      <c r="M207" s="13" t="s">
        <v>4501</v>
      </c>
      <c r="N207" s="13" t="s">
        <v>4502</v>
      </c>
      <c r="O207" s="13" t="s">
        <v>4503</v>
      </c>
      <c r="P207" s="13" t="s">
        <v>4504</v>
      </c>
      <c r="Q207" s="13" t="s">
        <v>4505</v>
      </c>
      <c r="R207" s="13" t="s">
        <v>4506</v>
      </c>
      <c r="S207" s="13" t="s">
        <v>4507</v>
      </c>
      <c r="T207" s="13" t="s">
        <v>4508</v>
      </c>
      <c r="U207" s="13" t="s">
        <v>4509</v>
      </c>
      <c r="V207" s="13" t="s">
        <v>4510</v>
      </c>
      <c r="W207" s="13" t="s">
        <v>4485</v>
      </c>
      <c r="X207" s="13"/>
      <c r="Y207" s="13"/>
      <c r="Z207" s="14"/>
    </row>
    <row r="208" customFormat="false" ht="45.75" hidden="false" customHeight="true" outlineLevel="0" collapsed="false">
      <c r="A208" s="9" t="s">
        <v>4511</v>
      </c>
      <c r="B208" s="9" t="s">
        <v>294</v>
      </c>
      <c r="C208" s="9" t="s">
        <v>1809</v>
      </c>
      <c r="D208" s="9" t="s">
        <v>4512</v>
      </c>
      <c r="E208" s="9" t="s">
        <v>1136</v>
      </c>
      <c r="F208" s="9" t="s">
        <v>2312</v>
      </c>
      <c r="G208" s="11" t="n">
        <v>250</v>
      </c>
      <c r="H208" s="9" t="s">
        <v>73</v>
      </c>
      <c r="I208" s="9" t="s">
        <v>379</v>
      </c>
      <c r="J208" s="9" t="s">
        <v>1977</v>
      </c>
      <c r="K208" s="9"/>
      <c r="L208" s="13" t="n">
        <v>2</v>
      </c>
      <c r="M208" s="13" t="s">
        <v>4513</v>
      </c>
      <c r="N208" s="13" t="s">
        <v>4514</v>
      </c>
      <c r="O208" s="13" t="s">
        <v>4515</v>
      </c>
      <c r="P208" s="13" t="s">
        <v>4516</v>
      </c>
      <c r="Q208" s="13" t="s">
        <v>4517</v>
      </c>
      <c r="R208" s="13" t="s">
        <v>4518</v>
      </c>
      <c r="S208" s="13" t="s">
        <v>4519</v>
      </c>
      <c r="T208" s="13" t="s">
        <v>4520</v>
      </c>
      <c r="U208" s="13" t="s">
        <v>4521</v>
      </c>
      <c r="V208" s="13" t="s">
        <v>4522</v>
      </c>
      <c r="W208" s="13" t="s">
        <v>4499</v>
      </c>
      <c r="X208" s="13" t="s">
        <v>4523</v>
      </c>
      <c r="Y208" s="13" t="s">
        <v>4524</v>
      </c>
      <c r="Z208" s="14"/>
    </row>
    <row r="209" customFormat="false" ht="45.75" hidden="false" customHeight="true" outlineLevel="0" collapsed="false">
      <c r="A209" s="9" t="s">
        <v>4525</v>
      </c>
      <c r="B209" s="9" t="s">
        <v>294</v>
      </c>
      <c r="C209" s="9" t="s">
        <v>1809</v>
      </c>
      <c r="D209" s="9" t="s">
        <v>4526</v>
      </c>
      <c r="E209" s="9" t="s">
        <v>1137</v>
      </c>
      <c r="F209" s="9" t="s">
        <v>1976</v>
      </c>
      <c r="G209" s="11" t="n">
        <v>50</v>
      </c>
      <c r="H209" s="9" t="s">
        <v>73</v>
      </c>
      <c r="I209" s="9" t="s">
        <v>379</v>
      </c>
      <c r="J209" s="9" t="s">
        <v>2842</v>
      </c>
      <c r="K209" s="9" t="s">
        <v>4527</v>
      </c>
      <c r="L209" s="13" t="n">
        <v>3</v>
      </c>
      <c r="M209" s="13" t="s">
        <v>4528</v>
      </c>
      <c r="N209" s="13" t="s">
        <v>4529</v>
      </c>
      <c r="O209" s="13" t="s">
        <v>4530</v>
      </c>
      <c r="P209" s="13" t="s">
        <v>4531</v>
      </c>
      <c r="Q209" s="13" t="s">
        <v>4532</v>
      </c>
      <c r="R209" s="13" t="s">
        <v>4533</v>
      </c>
      <c r="S209" s="13" t="s">
        <v>4534</v>
      </c>
      <c r="T209" s="13" t="s">
        <v>4535</v>
      </c>
      <c r="U209" s="13" t="s">
        <v>4536</v>
      </c>
      <c r="V209" s="13" t="s">
        <v>4537</v>
      </c>
      <c r="W209" s="13" t="s">
        <v>4511</v>
      </c>
      <c r="X209" s="13"/>
      <c r="Y209" s="13"/>
      <c r="Z209" s="14"/>
    </row>
    <row r="210" customFormat="false" ht="23.25" hidden="false" customHeight="true" outlineLevel="0" collapsed="false">
      <c r="A210" s="9" t="s">
        <v>4538</v>
      </c>
      <c r="B210" s="9" t="s">
        <v>294</v>
      </c>
      <c r="C210" s="9" t="s">
        <v>1809</v>
      </c>
      <c r="D210" s="9" t="s">
        <v>4539</v>
      </c>
      <c r="E210" s="9" t="s">
        <v>1139</v>
      </c>
      <c r="F210" s="9" t="s">
        <v>2002</v>
      </c>
      <c r="G210" s="11" t="n">
        <v>0</v>
      </c>
      <c r="H210" s="9" t="s">
        <v>73</v>
      </c>
      <c r="I210" s="9" t="s">
        <v>379</v>
      </c>
      <c r="J210" s="9" t="s">
        <v>1977</v>
      </c>
      <c r="K210" s="9"/>
      <c r="L210" s="13" t="n">
        <v>1</v>
      </c>
      <c r="M210" s="13" t="s">
        <v>4540</v>
      </c>
      <c r="N210" s="13" t="s">
        <v>4541</v>
      </c>
      <c r="O210" s="13" t="s">
        <v>4542</v>
      </c>
      <c r="P210" s="13" t="s">
        <v>2145</v>
      </c>
      <c r="Q210" s="13" t="s">
        <v>2146</v>
      </c>
      <c r="R210" s="13" t="s">
        <v>2147</v>
      </c>
      <c r="S210" s="13" t="s">
        <v>4543</v>
      </c>
      <c r="T210" s="13" t="s">
        <v>4544</v>
      </c>
      <c r="U210" s="13" t="s">
        <v>4015</v>
      </c>
      <c r="V210" s="13" t="s">
        <v>2128</v>
      </c>
      <c r="W210" s="13"/>
      <c r="X210" s="13"/>
      <c r="Y210" s="13"/>
      <c r="Z210" s="14"/>
    </row>
    <row r="211" customFormat="false" ht="34.5" hidden="false" customHeight="true" outlineLevel="0" collapsed="false">
      <c r="A211" s="9" t="s">
        <v>4545</v>
      </c>
      <c r="B211" s="9" t="s">
        <v>312</v>
      </c>
      <c r="C211" s="9" t="s">
        <v>1817</v>
      </c>
      <c r="D211" s="9" t="s">
        <v>4546</v>
      </c>
      <c r="E211" s="9" t="s">
        <v>1134</v>
      </c>
      <c r="F211" s="9" t="s">
        <v>1976</v>
      </c>
      <c r="G211" s="11" t="n">
        <v>60</v>
      </c>
      <c r="H211" s="9" t="s">
        <v>73</v>
      </c>
      <c r="I211" s="9" t="s">
        <v>379</v>
      </c>
      <c r="J211" s="9" t="s">
        <v>1977</v>
      </c>
      <c r="K211" s="9"/>
      <c r="L211" s="13" t="n">
        <v>1</v>
      </c>
      <c r="M211" s="13" t="s">
        <v>4547</v>
      </c>
      <c r="N211" s="13" t="s">
        <v>4548</v>
      </c>
      <c r="O211" s="13" t="s">
        <v>4549</v>
      </c>
      <c r="P211" s="13" t="s">
        <v>4550</v>
      </c>
      <c r="Q211" s="13" t="s">
        <v>4551</v>
      </c>
      <c r="R211" s="13" t="s">
        <v>2097</v>
      </c>
      <c r="S211" s="13" t="s">
        <v>4552</v>
      </c>
      <c r="T211" s="13" t="s">
        <v>4553</v>
      </c>
      <c r="U211" s="13" t="s">
        <v>4550</v>
      </c>
      <c r="V211" s="13" t="s">
        <v>2284</v>
      </c>
      <c r="W211" s="13"/>
      <c r="X211" s="13"/>
      <c r="Y211" s="13"/>
      <c r="Z211" s="14"/>
    </row>
    <row r="212" customFormat="false" ht="45.75" hidden="false" customHeight="true" outlineLevel="0" collapsed="false">
      <c r="A212" s="9" t="s">
        <v>4554</v>
      </c>
      <c r="B212" s="9" t="s">
        <v>312</v>
      </c>
      <c r="C212" s="9" t="s">
        <v>1817</v>
      </c>
      <c r="D212" s="9" t="s">
        <v>4555</v>
      </c>
      <c r="E212" s="9" t="s">
        <v>1137</v>
      </c>
      <c r="F212" s="9" t="s">
        <v>2002</v>
      </c>
      <c r="G212" s="11" t="n">
        <v>30</v>
      </c>
      <c r="H212" s="9" t="s">
        <v>73</v>
      </c>
      <c r="I212" s="9" t="s">
        <v>379</v>
      </c>
      <c r="J212" s="9" t="s">
        <v>1977</v>
      </c>
      <c r="K212" s="9"/>
      <c r="L212" s="13" t="n">
        <v>1</v>
      </c>
      <c r="M212" s="13" t="s">
        <v>4556</v>
      </c>
      <c r="N212" s="13" t="s">
        <v>4557</v>
      </c>
      <c r="O212" s="13" t="s">
        <v>4558</v>
      </c>
      <c r="P212" s="13" t="s">
        <v>4559</v>
      </c>
      <c r="Q212" s="13" t="s">
        <v>4560</v>
      </c>
      <c r="R212" s="13" t="s">
        <v>4561</v>
      </c>
      <c r="S212" s="13" t="s">
        <v>4562</v>
      </c>
      <c r="T212" s="13" t="s">
        <v>4563</v>
      </c>
      <c r="U212" s="13" t="s">
        <v>4564</v>
      </c>
      <c r="V212" s="13" t="s">
        <v>4565</v>
      </c>
      <c r="W212" s="13" t="s">
        <v>4545</v>
      </c>
      <c r="X212" s="13" t="s">
        <v>4566</v>
      </c>
      <c r="Y212" s="13" t="s">
        <v>4567</v>
      </c>
      <c r="Z212" s="14"/>
    </row>
    <row r="213" customFormat="false" ht="45.75" hidden="false" customHeight="true" outlineLevel="0" collapsed="false">
      <c r="A213" s="9" t="s">
        <v>4568</v>
      </c>
      <c r="B213" s="9" t="s">
        <v>312</v>
      </c>
      <c r="C213" s="9" t="s">
        <v>1817</v>
      </c>
      <c r="D213" s="9" t="s">
        <v>4569</v>
      </c>
      <c r="E213" s="9" t="s">
        <v>1137</v>
      </c>
      <c r="F213" s="9" t="s">
        <v>1976</v>
      </c>
      <c r="G213" s="11" t="n">
        <v>80</v>
      </c>
      <c r="H213" s="9" t="s">
        <v>73</v>
      </c>
      <c r="I213" s="9" t="s">
        <v>379</v>
      </c>
      <c r="J213" s="9" t="s">
        <v>2842</v>
      </c>
      <c r="K213" s="9" t="s">
        <v>4570</v>
      </c>
      <c r="L213" s="13" t="n">
        <v>2</v>
      </c>
      <c r="M213" s="13" t="s">
        <v>4571</v>
      </c>
      <c r="N213" s="13" t="s">
        <v>4572</v>
      </c>
      <c r="O213" s="13" t="s">
        <v>4573</v>
      </c>
      <c r="P213" s="13" t="s">
        <v>4574</v>
      </c>
      <c r="Q213" s="13" t="s">
        <v>4575</v>
      </c>
      <c r="R213" s="13" t="s">
        <v>4576</v>
      </c>
      <c r="S213" s="13" t="s">
        <v>4577</v>
      </c>
      <c r="T213" s="13" t="s">
        <v>4578</v>
      </c>
      <c r="U213" s="13" t="s">
        <v>4579</v>
      </c>
      <c r="V213" s="13" t="s">
        <v>4580</v>
      </c>
      <c r="W213" s="13" t="s">
        <v>4554</v>
      </c>
      <c r="X213" s="13" t="s">
        <v>4581</v>
      </c>
      <c r="Y213" s="13" t="s">
        <v>4582</v>
      </c>
      <c r="Z213" s="14"/>
    </row>
    <row r="214" customFormat="false" ht="45.75" hidden="false" customHeight="true" outlineLevel="0" collapsed="false">
      <c r="A214" s="9" t="s">
        <v>4583</v>
      </c>
      <c r="B214" s="9" t="s">
        <v>312</v>
      </c>
      <c r="C214" s="9" t="s">
        <v>1817</v>
      </c>
      <c r="D214" s="9" t="s">
        <v>4584</v>
      </c>
      <c r="E214" s="9" t="s">
        <v>1138</v>
      </c>
      <c r="F214" s="9" t="s">
        <v>2312</v>
      </c>
      <c r="G214" s="11" t="n">
        <v>250</v>
      </c>
      <c r="H214" s="9" t="s">
        <v>73</v>
      </c>
      <c r="I214" s="9" t="s">
        <v>379</v>
      </c>
      <c r="J214" s="9" t="s">
        <v>1977</v>
      </c>
      <c r="K214" s="9"/>
      <c r="L214" s="13" t="n">
        <v>3</v>
      </c>
      <c r="M214" s="13" t="s">
        <v>4585</v>
      </c>
      <c r="N214" s="13" t="s">
        <v>4586</v>
      </c>
      <c r="O214" s="13" t="s">
        <v>4587</v>
      </c>
      <c r="P214" s="13" t="s">
        <v>4588</v>
      </c>
      <c r="Q214" s="13" t="s">
        <v>4589</v>
      </c>
      <c r="R214" s="13" t="s">
        <v>2097</v>
      </c>
      <c r="S214" s="13" t="s">
        <v>4590</v>
      </c>
      <c r="T214" s="13" t="s">
        <v>4591</v>
      </c>
      <c r="U214" s="13" t="s">
        <v>4592</v>
      </c>
      <c r="V214" s="13" t="s">
        <v>3007</v>
      </c>
      <c r="W214" s="13" t="s">
        <v>4568</v>
      </c>
      <c r="X214" s="13"/>
      <c r="Y214" s="13"/>
      <c r="Z214" s="14"/>
    </row>
    <row r="215" customFormat="false" ht="45.75" hidden="false" customHeight="true" outlineLevel="0" collapsed="false">
      <c r="A215" s="9" t="s">
        <v>4593</v>
      </c>
      <c r="B215" s="9" t="s">
        <v>312</v>
      </c>
      <c r="C215" s="9" t="s">
        <v>1817</v>
      </c>
      <c r="D215" s="9" t="s">
        <v>4594</v>
      </c>
      <c r="E215" s="9" t="s">
        <v>1140</v>
      </c>
      <c r="F215" s="9" t="s">
        <v>2312</v>
      </c>
      <c r="G215" s="11" t="n">
        <v>200</v>
      </c>
      <c r="H215" s="9" t="s">
        <v>73</v>
      </c>
      <c r="I215" s="9" t="s">
        <v>379</v>
      </c>
      <c r="J215" s="9" t="s">
        <v>2842</v>
      </c>
      <c r="K215" s="9" t="s">
        <v>4595</v>
      </c>
      <c r="L215" s="13" t="n">
        <v>4</v>
      </c>
      <c r="M215" s="13" t="s">
        <v>4596</v>
      </c>
      <c r="N215" s="13" t="s">
        <v>4597</v>
      </c>
      <c r="O215" s="13" t="s">
        <v>4598</v>
      </c>
      <c r="P215" s="13" t="s">
        <v>4599</v>
      </c>
      <c r="Q215" s="13" t="s">
        <v>4600</v>
      </c>
      <c r="R215" s="13" t="s">
        <v>4601</v>
      </c>
      <c r="S215" s="13" t="s">
        <v>4602</v>
      </c>
      <c r="T215" s="13" t="s">
        <v>4603</v>
      </c>
      <c r="U215" s="13" t="s">
        <v>4604</v>
      </c>
      <c r="V215" s="13" t="s">
        <v>4605</v>
      </c>
      <c r="W215" s="13" t="s">
        <v>4583</v>
      </c>
      <c r="X215" s="13"/>
      <c r="Y215" s="13"/>
      <c r="Z215" s="14"/>
    </row>
    <row r="216" customFormat="false" ht="57" hidden="false" customHeight="true" outlineLevel="0" collapsed="false">
      <c r="A216" s="9" t="s">
        <v>4606</v>
      </c>
      <c r="B216" s="9" t="s">
        <v>326</v>
      </c>
      <c r="C216" s="9" t="s">
        <v>1824</v>
      </c>
      <c r="D216" s="9" t="s">
        <v>4607</v>
      </c>
      <c r="E216" s="9" t="s">
        <v>1140</v>
      </c>
      <c r="F216" s="9" t="s">
        <v>2312</v>
      </c>
      <c r="G216" s="15" t="n">
        <v>5000</v>
      </c>
      <c r="H216" s="9" t="s">
        <v>110</v>
      </c>
      <c r="I216" s="9" t="s">
        <v>379</v>
      </c>
      <c r="J216" s="9" t="s">
        <v>2842</v>
      </c>
      <c r="K216" s="9" t="s">
        <v>4608</v>
      </c>
      <c r="L216" s="13" t="n">
        <v>1</v>
      </c>
      <c r="M216" s="13" t="s">
        <v>4609</v>
      </c>
      <c r="N216" s="13" t="s">
        <v>4610</v>
      </c>
      <c r="O216" s="13" t="s">
        <v>4611</v>
      </c>
      <c r="P216" s="13" t="s">
        <v>4612</v>
      </c>
      <c r="Q216" s="13" t="s">
        <v>4613</v>
      </c>
      <c r="R216" s="13" t="s">
        <v>4614</v>
      </c>
      <c r="S216" s="13" t="s">
        <v>4615</v>
      </c>
      <c r="T216" s="13" t="s">
        <v>4616</v>
      </c>
      <c r="U216" s="13" t="s">
        <v>4617</v>
      </c>
      <c r="V216" s="13" t="s">
        <v>4618</v>
      </c>
      <c r="W216" s="13"/>
      <c r="X216" s="13"/>
      <c r="Y216" s="13"/>
      <c r="Z216" s="14"/>
    </row>
    <row r="217" customFormat="false" ht="45.75" hidden="false" customHeight="true" outlineLevel="0" collapsed="false">
      <c r="A217" s="9" t="s">
        <v>4619</v>
      </c>
      <c r="B217" s="9" t="s">
        <v>326</v>
      </c>
      <c r="C217" s="9" t="s">
        <v>1824</v>
      </c>
      <c r="D217" s="9" t="s">
        <v>4620</v>
      </c>
      <c r="E217" s="9" t="s">
        <v>1137</v>
      </c>
      <c r="F217" s="9" t="s">
        <v>2002</v>
      </c>
      <c r="G217" s="15" t="n">
        <v>400</v>
      </c>
      <c r="H217" s="9" t="s">
        <v>110</v>
      </c>
      <c r="I217" s="9" t="s">
        <v>379</v>
      </c>
      <c r="J217" s="9" t="s">
        <v>1977</v>
      </c>
      <c r="K217" s="9"/>
      <c r="L217" s="13" t="n">
        <v>1</v>
      </c>
      <c r="M217" s="13" t="s">
        <v>4621</v>
      </c>
      <c r="N217" s="13" t="s">
        <v>4622</v>
      </c>
      <c r="O217" s="13" t="s">
        <v>4623</v>
      </c>
      <c r="P217" s="13" t="s">
        <v>4624</v>
      </c>
      <c r="Q217" s="13" t="s">
        <v>4625</v>
      </c>
      <c r="R217" s="13" t="s">
        <v>4626</v>
      </c>
      <c r="S217" s="13" t="s">
        <v>4627</v>
      </c>
      <c r="T217" s="13" t="s">
        <v>4628</v>
      </c>
      <c r="U217" s="13" t="s">
        <v>4629</v>
      </c>
      <c r="V217" s="13" t="s">
        <v>4537</v>
      </c>
      <c r="W217" s="13" t="s">
        <v>4606</v>
      </c>
      <c r="X217" s="13" t="s">
        <v>4630</v>
      </c>
      <c r="Y217" s="13" t="s">
        <v>4631</v>
      </c>
      <c r="Z217" s="14"/>
    </row>
    <row r="218" customFormat="false" ht="45.75" hidden="false" customHeight="true" outlineLevel="0" collapsed="false">
      <c r="A218" s="9" t="s">
        <v>4632</v>
      </c>
      <c r="B218" s="9" t="s">
        <v>326</v>
      </c>
      <c r="C218" s="9" t="s">
        <v>1824</v>
      </c>
      <c r="D218" s="9" t="s">
        <v>4633</v>
      </c>
      <c r="E218" s="9" t="s">
        <v>1133</v>
      </c>
      <c r="F218" s="9" t="s">
        <v>1976</v>
      </c>
      <c r="G218" s="15" t="n">
        <v>1500</v>
      </c>
      <c r="H218" s="9" t="s">
        <v>110</v>
      </c>
      <c r="I218" s="9" t="s">
        <v>379</v>
      </c>
      <c r="J218" s="9" t="s">
        <v>2842</v>
      </c>
      <c r="K218" s="9" t="s">
        <v>4634</v>
      </c>
      <c r="L218" s="13" t="n">
        <v>2</v>
      </c>
      <c r="M218" s="13" t="s">
        <v>4635</v>
      </c>
      <c r="N218" s="13" t="s">
        <v>4636</v>
      </c>
      <c r="O218" s="13" t="s">
        <v>4637</v>
      </c>
      <c r="P218" s="13" t="s">
        <v>4638</v>
      </c>
      <c r="Q218" s="13" t="s">
        <v>4639</v>
      </c>
      <c r="R218" s="13" t="s">
        <v>4640</v>
      </c>
      <c r="S218" s="13" t="s">
        <v>4641</v>
      </c>
      <c r="T218" s="13" t="s">
        <v>4642</v>
      </c>
      <c r="U218" s="13" t="s">
        <v>4643</v>
      </c>
      <c r="V218" s="13" t="s">
        <v>4644</v>
      </c>
      <c r="W218" s="13" t="s">
        <v>4619</v>
      </c>
      <c r="X218" s="13"/>
      <c r="Y218" s="13"/>
      <c r="Z218" s="14"/>
    </row>
    <row r="219" customFormat="false" ht="45.75" hidden="false" customHeight="true" outlineLevel="0" collapsed="false">
      <c r="A219" s="9" t="s">
        <v>4645</v>
      </c>
      <c r="B219" s="9" t="s">
        <v>326</v>
      </c>
      <c r="C219" s="9" t="s">
        <v>1824</v>
      </c>
      <c r="D219" s="9" t="s">
        <v>4646</v>
      </c>
      <c r="E219" s="9" t="s">
        <v>1134</v>
      </c>
      <c r="F219" s="9" t="s">
        <v>1976</v>
      </c>
      <c r="G219" s="15" t="n">
        <v>1200</v>
      </c>
      <c r="H219" s="9" t="s">
        <v>110</v>
      </c>
      <c r="I219" s="9" t="s">
        <v>379</v>
      </c>
      <c r="J219" s="9" t="s">
        <v>2842</v>
      </c>
      <c r="K219" s="9" t="s">
        <v>4647</v>
      </c>
      <c r="L219" s="13" t="n">
        <v>3</v>
      </c>
      <c r="M219" s="13" t="s">
        <v>4648</v>
      </c>
      <c r="N219" s="13" t="s">
        <v>4649</v>
      </c>
      <c r="O219" s="13" t="s">
        <v>4650</v>
      </c>
      <c r="P219" s="13" t="s">
        <v>4651</v>
      </c>
      <c r="Q219" s="13" t="s">
        <v>4652</v>
      </c>
      <c r="R219" s="13" t="s">
        <v>4653</v>
      </c>
      <c r="S219" s="13" t="s">
        <v>4654</v>
      </c>
      <c r="T219" s="13" t="s">
        <v>4655</v>
      </c>
      <c r="U219" s="13" t="s">
        <v>4656</v>
      </c>
      <c r="V219" s="13" t="s">
        <v>4657</v>
      </c>
      <c r="W219" s="13" t="s">
        <v>4632</v>
      </c>
      <c r="X219" s="13" t="s">
        <v>4658</v>
      </c>
      <c r="Y219" s="13" t="s">
        <v>4659</v>
      </c>
      <c r="Z219" s="14"/>
    </row>
    <row r="220" customFormat="false" ht="45.75" hidden="false" customHeight="true" outlineLevel="0" collapsed="false">
      <c r="A220" s="9" t="s">
        <v>4660</v>
      </c>
      <c r="B220" s="9" t="s">
        <v>326</v>
      </c>
      <c r="C220" s="9" t="s">
        <v>1824</v>
      </c>
      <c r="D220" s="9" t="s">
        <v>4661</v>
      </c>
      <c r="E220" s="9" t="s">
        <v>1138</v>
      </c>
      <c r="F220" s="9" t="s">
        <v>2002</v>
      </c>
      <c r="G220" s="15" t="n">
        <v>500</v>
      </c>
      <c r="H220" s="9" t="s">
        <v>110</v>
      </c>
      <c r="I220" s="9" t="s">
        <v>379</v>
      </c>
      <c r="J220" s="9" t="s">
        <v>1977</v>
      </c>
      <c r="K220" s="9"/>
      <c r="L220" s="13" t="n">
        <v>3</v>
      </c>
      <c r="M220" s="13" t="s">
        <v>3348</v>
      </c>
      <c r="N220" s="13" t="s">
        <v>4662</v>
      </c>
      <c r="O220" s="13" t="s">
        <v>4663</v>
      </c>
      <c r="P220" s="13" t="s">
        <v>4664</v>
      </c>
      <c r="Q220" s="13" t="s">
        <v>4665</v>
      </c>
      <c r="R220" s="13" t="s">
        <v>4666</v>
      </c>
      <c r="S220" s="13" t="s">
        <v>4667</v>
      </c>
      <c r="T220" s="13" t="s">
        <v>4668</v>
      </c>
      <c r="U220" s="13" t="s">
        <v>4629</v>
      </c>
      <c r="V220" s="13" t="s">
        <v>3516</v>
      </c>
      <c r="W220" s="13" t="s">
        <v>4632</v>
      </c>
      <c r="X220" s="13"/>
      <c r="Y220" s="13"/>
      <c r="Z220" s="14"/>
    </row>
    <row r="221" customFormat="false" ht="45.75" hidden="false" customHeight="true" outlineLevel="0" collapsed="false">
      <c r="A221" s="9" t="s">
        <v>4669</v>
      </c>
      <c r="B221" s="9" t="s">
        <v>326</v>
      </c>
      <c r="C221" s="9" t="s">
        <v>1824</v>
      </c>
      <c r="D221" s="9" t="s">
        <v>4670</v>
      </c>
      <c r="E221" s="9" t="s">
        <v>1137</v>
      </c>
      <c r="F221" s="9" t="s">
        <v>1976</v>
      </c>
      <c r="G221" s="15" t="n">
        <v>1000</v>
      </c>
      <c r="H221" s="9" t="s">
        <v>110</v>
      </c>
      <c r="I221" s="9" t="s">
        <v>379</v>
      </c>
      <c r="J221" s="9" t="s">
        <v>2842</v>
      </c>
      <c r="K221" s="9" t="s">
        <v>4671</v>
      </c>
      <c r="L221" s="13" t="n">
        <v>4</v>
      </c>
      <c r="M221" s="13" t="s">
        <v>4672</v>
      </c>
      <c r="N221" s="13" t="s">
        <v>4673</v>
      </c>
      <c r="O221" s="13" t="s">
        <v>4674</v>
      </c>
      <c r="P221" s="13" t="s">
        <v>4675</v>
      </c>
      <c r="Q221" s="13" t="s">
        <v>4676</v>
      </c>
      <c r="R221" s="13" t="s">
        <v>4677</v>
      </c>
      <c r="S221" s="13" t="s">
        <v>4678</v>
      </c>
      <c r="T221" s="13" t="s">
        <v>4679</v>
      </c>
      <c r="U221" s="13" t="s">
        <v>2139</v>
      </c>
      <c r="V221" s="13" t="s">
        <v>4680</v>
      </c>
      <c r="W221" s="13" t="s">
        <v>4645</v>
      </c>
      <c r="X221" s="13"/>
      <c r="Y221" s="13"/>
      <c r="Z221" s="14"/>
    </row>
    <row r="222" customFormat="false" ht="34.5" hidden="false" customHeight="true" outlineLevel="0" collapsed="false">
      <c r="A222" s="9" t="s">
        <v>4681</v>
      </c>
      <c r="B222" s="9" t="s">
        <v>342</v>
      </c>
      <c r="C222" s="9" t="s">
        <v>1833</v>
      </c>
      <c r="D222" s="9" t="s">
        <v>4682</v>
      </c>
      <c r="E222" s="9" t="s">
        <v>1137</v>
      </c>
      <c r="F222" s="9" t="s">
        <v>1976</v>
      </c>
      <c r="G222" s="11" t="n">
        <v>80</v>
      </c>
      <c r="H222" s="9" t="s">
        <v>73</v>
      </c>
      <c r="I222" s="9" t="s">
        <v>379</v>
      </c>
      <c r="J222" s="9" t="s">
        <v>1977</v>
      </c>
      <c r="K222" s="9"/>
      <c r="L222" s="13" t="n">
        <v>1</v>
      </c>
      <c r="M222" s="13" t="s">
        <v>4683</v>
      </c>
      <c r="N222" s="13" t="s">
        <v>4684</v>
      </c>
      <c r="O222" s="13" t="s">
        <v>4685</v>
      </c>
      <c r="P222" s="13" t="s">
        <v>4686</v>
      </c>
      <c r="Q222" s="13" t="s">
        <v>4687</v>
      </c>
      <c r="R222" s="13" t="s">
        <v>4688</v>
      </c>
      <c r="S222" s="13" t="s">
        <v>4689</v>
      </c>
      <c r="T222" s="13" t="s">
        <v>2947</v>
      </c>
      <c r="U222" s="13" t="s">
        <v>4690</v>
      </c>
      <c r="V222" s="13" t="s">
        <v>4691</v>
      </c>
      <c r="W222" s="13"/>
      <c r="X222" s="13" t="s">
        <v>4692</v>
      </c>
      <c r="Y222" s="13" t="s">
        <v>4693</v>
      </c>
      <c r="Z222" s="14"/>
    </row>
    <row r="223" customFormat="false" ht="45.75" hidden="false" customHeight="true" outlineLevel="0" collapsed="false">
      <c r="A223" s="9" t="s">
        <v>4694</v>
      </c>
      <c r="B223" s="9" t="s">
        <v>342</v>
      </c>
      <c r="C223" s="9" t="s">
        <v>1833</v>
      </c>
      <c r="D223" s="9" t="s">
        <v>4695</v>
      </c>
      <c r="E223" s="9" t="s">
        <v>1136</v>
      </c>
      <c r="F223" s="9" t="s">
        <v>2312</v>
      </c>
      <c r="G223" s="11" t="n">
        <v>250</v>
      </c>
      <c r="H223" s="9" t="s">
        <v>73</v>
      </c>
      <c r="I223" s="9" t="s">
        <v>379</v>
      </c>
      <c r="J223" s="9" t="s">
        <v>2842</v>
      </c>
      <c r="K223" s="9" t="s">
        <v>4696</v>
      </c>
      <c r="L223" s="13" t="n">
        <v>1</v>
      </c>
      <c r="M223" s="13" t="s">
        <v>4697</v>
      </c>
      <c r="N223" s="13" t="s">
        <v>4698</v>
      </c>
      <c r="O223" s="13" t="s">
        <v>4699</v>
      </c>
      <c r="P223" s="13" t="s">
        <v>4700</v>
      </c>
      <c r="Q223" s="13" t="s">
        <v>4701</v>
      </c>
      <c r="R223" s="13" t="s">
        <v>2097</v>
      </c>
      <c r="S223" s="13" t="s">
        <v>4702</v>
      </c>
      <c r="T223" s="13" t="s">
        <v>4703</v>
      </c>
      <c r="U223" s="13" t="s">
        <v>4704</v>
      </c>
      <c r="V223" s="13" t="s">
        <v>4705</v>
      </c>
      <c r="W223" s="13" t="s">
        <v>4681</v>
      </c>
      <c r="X223" s="13"/>
      <c r="Y223" s="13"/>
      <c r="Z223" s="14"/>
    </row>
    <row r="224" customFormat="false" ht="34.5" hidden="false" customHeight="true" outlineLevel="0" collapsed="false">
      <c r="A224" s="9" t="s">
        <v>4706</v>
      </c>
      <c r="B224" s="9" t="s">
        <v>342</v>
      </c>
      <c r="C224" s="9" t="s">
        <v>1833</v>
      </c>
      <c r="D224" s="9" t="s">
        <v>4707</v>
      </c>
      <c r="E224" s="9" t="s">
        <v>1134</v>
      </c>
      <c r="F224" s="9" t="s">
        <v>1976</v>
      </c>
      <c r="G224" s="11" t="n">
        <v>60</v>
      </c>
      <c r="H224" s="9" t="s">
        <v>73</v>
      </c>
      <c r="I224" s="9" t="s">
        <v>379</v>
      </c>
      <c r="J224" s="9" t="s">
        <v>1977</v>
      </c>
      <c r="K224" s="9"/>
      <c r="L224" s="13" t="n">
        <v>2</v>
      </c>
      <c r="M224" s="13" t="s">
        <v>4708</v>
      </c>
      <c r="N224" s="13" t="s">
        <v>4709</v>
      </c>
      <c r="O224" s="13" t="s">
        <v>4710</v>
      </c>
      <c r="P224" s="13" t="s">
        <v>4711</v>
      </c>
      <c r="Q224" s="13" t="s">
        <v>4712</v>
      </c>
      <c r="R224" s="13" t="s">
        <v>1555</v>
      </c>
      <c r="S224" s="13" t="s">
        <v>4713</v>
      </c>
      <c r="T224" s="13" t="s">
        <v>2113</v>
      </c>
      <c r="U224" s="13" t="s">
        <v>2283</v>
      </c>
      <c r="V224" s="13" t="s">
        <v>4714</v>
      </c>
      <c r="W224" s="13" t="s">
        <v>4694</v>
      </c>
      <c r="X224" s="13"/>
      <c r="Y224" s="13"/>
      <c r="Z224" s="14"/>
    </row>
    <row r="225" customFormat="false" ht="34.5" hidden="false" customHeight="true" outlineLevel="0" collapsed="false">
      <c r="A225" s="9" t="s">
        <v>4715</v>
      </c>
      <c r="B225" s="9" t="s">
        <v>342</v>
      </c>
      <c r="C225" s="9" t="s">
        <v>1833</v>
      </c>
      <c r="D225" s="9" t="s">
        <v>4716</v>
      </c>
      <c r="E225" s="9" t="s">
        <v>1137</v>
      </c>
      <c r="F225" s="9" t="s">
        <v>2002</v>
      </c>
      <c r="G225" s="11" t="n">
        <v>30</v>
      </c>
      <c r="H225" s="9" t="s">
        <v>73</v>
      </c>
      <c r="I225" s="9" t="s">
        <v>379</v>
      </c>
      <c r="J225" s="9" t="s">
        <v>1977</v>
      </c>
      <c r="K225" s="9"/>
      <c r="L225" s="13" t="n">
        <v>2</v>
      </c>
      <c r="M225" s="13" t="s">
        <v>4717</v>
      </c>
      <c r="N225" s="13" t="s">
        <v>4718</v>
      </c>
      <c r="O225" s="13" t="s">
        <v>4719</v>
      </c>
      <c r="P225" s="13" t="s">
        <v>4720</v>
      </c>
      <c r="Q225" s="13" t="s">
        <v>4721</v>
      </c>
      <c r="R225" s="13" t="s">
        <v>2172</v>
      </c>
      <c r="S225" s="13" t="s">
        <v>4722</v>
      </c>
      <c r="T225" s="13" t="s">
        <v>4723</v>
      </c>
      <c r="U225" s="13" t="s">
        <v>4724</v>
      </c>
      <c r="V225" s="13" t="s">
        <v>4725</v>
      </c>
      <c r="W225" s="13" t="s">
        <v>4706</v>
      </c>
      <c r="X225" s="13" t="s">
        <v>4726</v>
      </c>
      <c r="Y225" s="13" t="s">
        <v>4727</v>
      </c>
      <c r="Z225" s="14"/>
    </row>
    <row r="226" customFormat="false" ht="34.5" hidden="false" customHeight="true" outlineLevel="0" collapsed="false">
      <c r="A226" s="9" t="s">
        <v>4728</v>
      </c>
      <c r="B226" s="9" t="s">
        <v>342</v>
      </c>
      <c r="C226" s="9" t="s">
        <v>1833</v>
      </c>
      <c r="D226" s="9" t="s">
        <v>4729</v>
      </c>
      <c r="E226" s="9" t="s">
        <v>1138</v>
      </c>
      <c r="F226" s="9" t="s">
        <v>2002</v>
      </c>
      <c r="G226" s="11" t="n">
        <v>25</v>
      </c>
      <c r="H226" s="9" t="s">
        <v>73</v>
      </c>
      <c r="I226" s="9" t="s">
        <v>379</v>
      </c>
      <c r="J226" s="9" t="s">
        <v>1977</v>
      </c>
      <c r="K226" s="9"/>
      <c r="L226" s="13" t="n">
        <v>2</v>
      </c>
      <c r="M226" s="13" t="s">
        <v>4730</v>
      </c>
      <c r="N226" s="13" t="s">
        <v>4731</v>
      </c>
      <c r="O226" s="13" t="s">
        <v>4732</v>
      </c>
      <c r="P226" s="13" t="s">
        <v>4733</v>
      </c>
      <c r="Q226" s="13" t="s">
        <v>4734</v>
      </c>
      <c r="R226" s="13" t="s">
        <v>1555</v>
      </c>
      <c r="S226" s="13" t="s">
        <v>4332</v>
      </c>
      <c r="T226" s="13" t="s">
        <v>4735</v>
      </c>
      <c r="U226" s="13" t="s">
        <v>2114</v>
      </c>
      <c r="V226" s="13" t="s">
        <v>2023</v>
      </c>
      <c r="W226" s="13" t="s">
        <v>4715</v>
      </c>
      <c r="X226" s="13"/>
      <c r="Y226" s="13"/>
      <c r="Z226" s="14"/>
    </row>
    <row r="227" customFormat="false" ht="41.75" hidden="false" customHeight="false" outlineLevel="0" collapsed="false">
      <c r="A227" s="1" t="s">
        <v>4736</v>
      </c>
      <c r="B227" s="1" t="s">
        <v>87</v>
      </c>
      <c r="C227" s="1" t="s">
        <v>1841</v>
      </c>
      <c r="D227" s="1" t="s">
        <v>4737</v>
      </c>
      <c r="E227" s="20" t="s">
        <v>1135</v>
      </c>
      <c r="F227" s="20" t="s">
        <v>1976</v>
      </c>
      <c r="G227" s="1" t="n">
        <v>80</v>
      </c>
      <c r="H227" s="20" t="s">
        <v>73</v>
      </c>
      <c r="I227" s="20" t="s">
        <v>2026</v>
      </c>
      <c r="J227" s="20" t="s">
        <v>1977</v>
      </c>
      <c r="L227" s="1" t="n">
        <v>1</v>
      </c>
      <c r="M227" s="1" t="s">
        <v>4738</v>
      </c>
      <c r="N227" s="1" t="s">
        <v>4739</v>
      </c>
      <c r="O227" s="22" t="s">
        <v>4740</v>
      </c>
      <c r="P227" s="1" t="s">
        <v>4741</v>
      </c>
      <c r="Q227" s="1" t="s">
        <v>4742</v>
      </c>
      <c r="R227" s="1" t="s">
        <v>4743</v>
      </c>
      <c r="S227" s="1" t="s">
        <v>4744</v>
      </c>
      <c r="T227" s="1" t="s">
        <v>4745</v>
      </c>
      <c r="U227" s="1" t="s">
        <v>4746</v>
      </c>
      <c r="V227" s="1" t="s">
        <v>2186</v>
      </c>
    </row>
    <row r="228" customFormat="false" ht="41.75" hidden="false" customHeight="false" outlineLevel="0" collapsed="false">
      <c r="A228" s="1" t="s">
        <v>4747</v>
      </c>
      <c r="B228" s="1" t="s">
        <v>87</v>
      </c>
      <c r="C228" s="1" t="s">
        <v>1854</v>
      </c>
      <c r="D228" s="1" t="s">
        <v>4748</v>
      </c>
      <c r="E228" s="20" t="s">
        <v>1135</v>
      </c>
      <c r="F228" s="20" t="s">
        <v>2002</v>
      </c>
      <c r="G228" s="1" t="n">
        <v>30</v>
      </c>
      <c r="H228" s="20" t="s">
        <v>73</v>
      </c>
      <c r="I228" s="20" t="s">
        <v>2026</v>
      </c>
      <c r="J228" s="20" t="s">
        <v>1977</v>
      </c>
      <c r="L228" s="1" t="n">
        <v>1</v>
      </c>
      <c r="M228" s="1" t="s">
        <v>4749</v>
      </c>
      <c r="N228" s="1" t="s">
        <v>4750</v>
      </c>
      <c r="O228" s="22" t="s">
        <v>4751</v>
      </c>
      <c r="P228" s="1" t="s">
        <v>4752</v>
      </c>
      <c r="Q228" s="1" t="s">
        <v>4753</v>
      </c>
      <c r="R228" s="1" t="s">
        <v>4743</v>
      </c>
      <c r="S228" s="1" t="s">
        <v>4754</v>
      </c>
      <c r="T228" s="1" t="s">
        <v>4755</v>
      </c>
      <c r="U228" s="1" t="s">
        <v>4756</v>
      </c>
      <c r="V228" s="1" t="s">
        <v>4757</v>
      </c>
    </row>
    <row r="229" customFormat="false" ht="41.75" hidden="false" customHeight="false" outlineLevel="0" collapsed="false">
      <c r="A229" s="1" t="s">
        <v>4758</v>
      </c>
      <c r="B229" s="1" t="s">
        <v>157</v>
      </c>
      <c r="C229" s="1" t="s">
        <v>1867</v>
      </c>
      <c r="D229" s="1" t="s">
        <v>4759</v>
      </c>
      <c r="E229" s="20" t="s">
        <v>1134</v>
      </c>
      <c r="F229" s="20" t="s">
        <v>1976</v>
      </c>
      <c r="G229" s="1" t="n">
        <v>60</v>
      </c>
      <c r="H229" s="20" t="s">
        <v>73</v>
      </c>
      <c r="I229" s="20" t="s">
        <v>2026</v>
      </c>
      <c r="J229" s="20" t="s">
        <v>1977</v>
      </c>
      <c r="L229" s="1" t="n">
        <v>1</v>
      </c>
      <c r="M229" s="1" t="s">
        <v>4760</v>
      </c>
      <c r="N229" s="1" t="s">
        <v>4761</v>
      </c>
      <c r="O229" s="22" t="s">
        <v>4762</v>
      </c>
      <c r="P229" s="1" t="s">
        <v>4763</v>
      </c>
      <c r="Q229" s="1" t="s">
        <v>4764</v>
      </c>
      <c r="R229" s="1" t="s">
        <v>4765</v>
      </c>
      <c r="S229" s="1" t="s">
        <v>4766</v>
      </c>
      <c r="T229" s="1" t="s">
        <v>4767</v>
      </c>
      <c r="U229" s="1" t="s">
        <v>4768</v>
      </c>
      <c r="V229" s="1" t="s">
        <v>3950</v>
      </c>
    </row>
    <row r="230" customFormat="false" ht="41.75" hidden="false" customHeight="false" outlineLevel="0" collapsed="false">
      <c r="A230" s="1" t="s">
        <v>4769</v>
      </c>
      <c r="B230" s="1" t="s">
        <v>174</v>
      </c>
      <c r="C230" s="1" t="s">
        <v>1879</v>
      </c>
      <c r="D230" s="1" t="s">
        <v>4770</v>
      </c>
      <c r="E230" s="20" t="s">
        <v>1140</v>
      </c>
      <c r="F230" s="20" t="s">
        <v>2312</v>
      </c>
      <c r="G230" s="1" t="n">
        <v>200</v>
      </c>
      <c r="H230" s="20" t="s">
        <v>73</v>
      </c>
      <c r="I230" s="20" t="s">
        <v>2026</v>
      </c>
      <c r="J230" s="20" t="s">
        <v>2842</v>
      </c>
      <c r="K230" s="1" t="s">
        <v>4771</v>
      </c>
      <c r="L230" s="1" t="n">
        <v>4</v>
      </c>
      <c r="M230" s="1" t="s">
        <v>4772</v>
      </c>
      <c r="N230" s="1" t="s">
        <v>4773</v>
      </c>
      <c r="O230" s="22" t="s">
        <v>4774</v>
      </c>
      <c r="P230" s="1" t="s">
        <v>4775</v>
      </c>
      <c r="Q230" s="1" t="s">
        <v>4776</v>
      </c>
      <c r="R230" s="1" t="s">
        <v>4777</v>
      </c>
      <c r="S230" s="1" t="s">
        <v>4778</v>
      </c>
      <c r="T230" s="1" t="s">
        <v>4779</v>
      </c>
      <c r="U230" s="1" t="s">
        <v>4780</v>
      </c>
      <c r="V230" s="1" t="s">
        <v>4781</v>
      </c>
    </row>
    <row r="231" customFormat="false" ht="41.75" hidden="false" customHeight="false" outlineLevel="0" collapsed="false">
      <c r="A231" s="1" t="s">
        <v>4782</v>
      </c>
      <c r="B231" s="1" t="s">
        <v>210</v>
      </c>
      <c r="C231" s="1" t="s">
        <v>1892</v>
      </c>
      <c r="D231" s="1" t="s">
        <v>4783</v>
      </c>
      <c r="E231" s="20" t="s">
        <v>1133</v>
      </c>
      <c r="F231" s="20" t="s">
        <v>2002</v>
      </c>
      <c r="G231" s="1" t="n">
        <v>400</v>
      </c>
      <c r="H231" s="20" t="s">
        <v>110</v>
      </c>
      <c r="I231" s="20" t="s">
        <v>2026</v>
      </c>
      <c r="J231" s="20" t="s">
        <v>1977</v>
      </c>
      <c r="L231" s="1" t="n">
        <v>2</v>
      </c>
      <c r="M231" s="1" t="s">
        <v>3569</v>
      </c>
      <c r="N231" s="1" t="s">
        <v>4784</v>
      </c>
      <c r="O231" s="22" t="s">
        <v>4785</v>
      </c>
      <c r="P231" s="1" t="s">
        <v>4786</v>
      </c>
      <c r="Q231" s="1" t="s">
        <v>4787</v>
      </c>
      <c r="R231" s="1" t="s">
        <v>2097</v>
      </c>
      <c r="S231" s="1" t="s">
        <v>4788</v>
      </c>
      <c r="T231" s="1" t="s">
        <v>4789</v>
      </c>
      <c r="U231" s="1" t="s">
        <v>4790</v>
      </c>
      <c r="V231" s="1" t="s">
        <v>4791</v>
      </c>
    </row>
    <row r="232" customFormat="false" ht="41.75" hidden="false" customHeight="false" outlineLevel="0" collapsed="false">
      <c r="A232" s="1" t="s">
        <v>4792</v>
      </c>
      <c r="B232" s="1" t="s">
        <v>227</v>
      </c>
      <c r="C232" s="1" t="s">
        <v>1905</v>
      </c>
      <c r="D232" s="1" t="s">
        <v>4793</v>
      </c>
      <c r="E232" s="20" t="s">
        <v>1135</v>
      </c>
      <c r="F232" s="20" t="s">
        <v>1976</v>
      </c>
      <c r="G232" s="1" t="n">
        <v>1200</v>
      </c>
      <c r="H232" s="20" t="s">
        <v>110</v>
      </c>
      <c r="I232" s="20" t="s">
        <v>2026</v>
      </c>
      <c r="J232" s="20" t="s">
        <v>1977</v>
      </c>
      <c r="L232" s="1" t="n">
        <v>1</v>
      </c>
      <c r="M232" s="1" t="s">
        <v>4794</v>
      </c>
      <c r="N232" s="1" t="s">
        <v>4795</v>
      </c>
      <c r="O232" s="22" t="s">
        <v>4796</v>
      </c>
      <c r="P232" s="1" t="s">
        <v>4797</v>
      </c>
      <c r="Q232" s="1" t="s">
        <v>4798</v>
      </c>
      <c r="R232" s="1" t="s">
        <v>4799</v>
      </c>
      <c r="S232" s="1" t="s">
        <v>4800</v>
      </c>
      <c r="T232" s="1" t="s">
        <v>4801</v>
      </c>
      <c r="U232" s="1" t="s">
        <v>4802</v>
      </c>
      <c r="V232" s="1" t="s">
        <v>3733</v>
      </c>
    </row>
    <row r="233" customFormat="false" ht="41.75" hidden="false" customHeight="false" outlineLevel="0" collapsed="false">
      <c r="A233" s="1" t="s">
        <v>4803</v>
      </c>
      <c r="B233" s="1" t="s">
        <v>244</v>
      </c>
      <c r="C233" s="1" t="s">
        <v>1917</v>
      </c>
      <c r="D233" s="1" t="s">
        <v>4804</v>
      </c>
      <c r="E233" s="20" t="s">
        <v>1135</v>
      </c>
      <c r="F233" s="20" t="s">
        <v>1976</v>
      </c>
      <c r="G233" s="1" t="n">
        <v>1500</v>
      </c>
      <c r="H233" s="20" t="s">
        <v>110</v>
      </c>
      <c r="I233" s="20" t="s">
        <v>2026</v>
      </c>
      <c r="J233" s="20" t="s">
        <v>1977</v>
      </c>
      <c r="L233" s="1" t="n">
        <v>3</v>
      </c>
      <c r="M233" s="1" t="s">
        <v>4805</v>
      </c>
      <c r="N233" s="1" t="s">
        <v>4806</v>
      </c>
      <c r="O233" s="22" t="s">
        <v>4807</v>
      </c>
      <c r="P233" s="1" t="s">
        <v>4808</v>
      </c>
      <c r="Q233" s="1" t="s">
        <v>4809</v>
      </c>
      <c r="R233" s="1" t="s">
        <v>4810</v>
      </c>
      <c r="S233" s="1" t="s">
        <v>4811</v>
      </c>
      <c r="T233" s="1" t="s">
        <v>4812</v>
      </c>
      <c r="U233" s="1" t="s">
        <v>4813</v>
      </c>
      <c r="V233" s="1" t="s">
        <v>4814</v>
      </c>
    </row>
    <row r="234" customFormat="false" ht="41.75" hidden="false" customHeight="false" outlineLevel="0" collapsed="false">
      <c r="A234" s="1" t="s">
        <v>4815</v>
      </c>
      <c r="B234" s="1" t="s">
        <v>260</v>
      </c>
      <c r="C234" s="1" t="s">
        <v>1930</v>
      </c>
      <c r="D234" s="1" t="s">
        <v>4816</v>
      </c>
      <c r="E234" s="20" t="s">
        <v>1133</v>
      </c>
      <c r="F234" s="20" t="s">
        <v>1976</v>
      </c>
      <c r="G234" s="1" t="n">
        <v>80</v>
      </c>
      <c r="H234" s="20" t="s">
        <v>73</v>
      </c>
      <c r="I234" s="20" t="s">
        <v>2026</v>
      </c>
      <c r="J234" s="20" t="s">
        <v>2842</v>
      </c>
      <c r="K234" s="1" t="s">
        <v>4817</v>
      </c>
      <c r="L234" s="1" t="n">
        <v>1</v>
      </c>
      <c r="M234" s="1" t="s">
        <v>4818</v>
      </c>
      <c r="N234" s="1" t="s">
        <v>4819</v>
      </c>
      <c r="O234" s="22" t="s">
        <v>4820</v>
      </c>
      <c r="P234" s="1" t="s">
        <v>4821</v>
      </c>
      <c r="Q234" s="1" t="s">
        <v>4822</v>
      </c>
      <c r="R234" s="1" t="s">
        <v>4823</v>
      </c>
      <c r="S234" s="1" t="s">
        <v>4824</v>
      </c>
      <c r="T234" s="1" t="s">
        <v>4825</v>
      </c>
      <c r="U234" s="1" t="s">
        <v>4826</v>
      </c>
      <c r="V234" s="1" t="s">
        <v>4827</v>
      </c>
    </row>
    <row r="235" customFormat="false" ht="41.75" hidden="false" customHeight="false" outlineLevel="0" collapsed="false">
      <c r="A235" s="1" t="s">
        <v>4828</v>
      </c>
      <c r="B235" s="1" t="s">
        <v>277</v>
      </c>
      <c r="C235" s="1" t="s">
        <v>1943</v>
      </c>
      <c r="D235" s="1" t="s">
        <v>4829</v>
      </c>
      <c r="E235" s="20" t="s">
        <v>1133</v>
      </c>
      <c r="F235" s="20" t="s">
        <v>1976</v>
      </c>
      <c r="G235" s="1" t="n">
        <v>80</v>
      </c>
      <c r="H235" s="20" t="s">
        <v>73</v>
      </c>
      <c r="I235" s="20" t="s">
        <v>2026</v>
      </c>
      <c r="J235" s="20" t="s">
        <v>2842</v>
      </c>
      <c r="K235" s="1" t="s">
        <v>4830</v>
      </c>
      <c r="L235" s="1" t="n">
        <v>1</v>
      </c>
      <c r="M235" s="1" t="s">
        <v>4831</v>
      </c>
      <c r="N235" s="1" t="s">
        <v>4832</v>
      </c>
      <c r="O235" s="22" t="s">
        <v>4833</v>
      </c>
      <c r="P235" s="1" t="s">
        <v>4834</v>
      </c>
      <c r="Q235" s="1" t="s">
        <v>4835</v>
      </c>
      <c r="R235" s="1" t="s">
        <v>4836</v>
      </c>
      <c r="S235" s="1" t="s">
        <v>4837</v>
      </c>
      <c r="T235" s="1" t="s">
        <v>4838</v>
      </c>
      <c r="U235" s="1" t="s">
        <v>4839</v>
      </c>
      <c r="V235" s="1" t="s">
        <v>3233</v>
      </c>
    </row>
    <row r="236" customFormat="false" ht="15" hidden="false" customHeight="false" outlineLevel="0" collapsed="false">
      <c r="E236" s="20"/>
      <c r="F236" s="20"/>
      <c r="H236" s="20"/>
      <c r="I236" s="20"/>
      <c r="J236" s="20"/>
    </row>
    <row r="237" customFormat="false" ht="15" hidden="false" customHeight="false" outlineLevel="0" collapsed="false">
      <c r="E237" s="20"/>
      <c r="F237" s="20"/>
      <c r="H237" s="20"/>
      <c r="I237" s="20"/>
      <c r="J237" s="20"/>
    </row>
    <row r="238" customFormat="false" ht="15" hidden="false" customHeight="false" outlineLevel="0" collapsed="false">
      <c r="E238" s="20"/>
      <c r="F238" s="20"/>
      <c r="H238" s="20"/>
      <c r="I238" s="20"/>
      <c r="J238" s="20"/>
    </row>
    <row r="239" customFormat="false" ht="15" hidden="false" customHeight="false" outlineLevel="0" collapsed="false">
      <c r="E239" s="20"/>
      <c r="F239" s="20"/>
      <c r="H239" s="20"/>
      <c r="I239" s="20"/>
      <c r="J239" s="20"/>
    </row>
    <row r="240" customFormat="false" ht="15" hidden="false" customHeight="false" outlineLevel="0" collapsed="false">
      <c r="E240" s="20"/>
      <c r="F240" s="20"/>
      <c r="H240" s="20"/>
      <c r="I240" s="20"/>
      <c r="J240" s="20"/>
    </row>
    <row r="241" customFormat="false" ht="15" hidden="false" customHeight="false" outlineLevel="0" collapsed="false">
      <c r="E241" s="20"/>
      <c r="F241" s="20"/>
      <c r="H241" s="20"/>
      <c r="I241" s="20"/>
      <c r="J241" s="20"/>
    </row>
    <row r="242" customFormat="false" ht="15" hidden="false" customHeight="false" outlineLevel="0" collapsed="false">
      <c r="E242" s="20"/>
      <c r="F242" s="20"/>
      <c r="H242" s="20"/>
      <c r="I242" s="20"/>
      <c r="J242" s="20"/>
    </row>
    <row r="243" customFormat="false" ht="15" hidden="false" customHeight="false" outlineLevel="0" collapsed="false">
      <c r="E243" s="20"/>
      <c r="F243" s="20"/>
      <c r="H243" s="20"/>
      <c r="I243" s="20"/>
      <c r="J243" s="20"/>
    </row>
    <row r="244" customFormat="false" ht="15" hidden="false" customHeight="false" outlineLevel="0" collapsed="false">
      <c r="E244" s="20"/>
      <c r="F244" s="20"/>
      <c r="H244" s="20"/>
      <c r="I244" s="20"/>
      <c r="J244" s="20"/>
    </row>
    <row r="245" customFormat="false" ht="15" hidden="false" customHeight="false" outlineLevel="0" collapsed="false">
      <c r="E245" s="20"/>
      <c r="F245" s="20"/>
      <c r="H245" s="20"/>
      <c r="I245" s="20"/>
      <c r="J245" s="20"/>
    </row>
    <row r="246" customFormat="false" ht="15" hidden="false" customHeight="false" outlineLevel="0" collapsed="false">
      <c r="E246" s="20"/>
      <c r="F246" s="20"/>
      <c r="H246" s="20"/>
      <c r="I246" s="20"/>
      <c r="J246" s="20"/>
    </row>
    <row r="247" customFormat="false" ht="15" hidden="false" customHeight="false" outlineLevel="0" collapsed="false">
      <c r="E247" s="20"/>
      <c r="F247" s="20"/>
      <c r="H247" s="20"/>
      <c r="I247" s="20"/>
      <c r="J247" s="20"/>
    </row>
    <row r="248" customFormat="false" ht="15" hidden="false" customHeight="false" outlineLevel="0" collapsed="false">
      <c r="E248" s="20"/>
      <c r="F248" s="20"/>
      <c r="H248" s="20"/>
      <c r="I248" s="20"/>
      <c r="J248" s="20"/>
    </row>
    <row r="249" customFormat="false" ht="15" hidden="false" customHeight="false" outlineLevel="0" collapsed="false">
      <c r="E249" s="20"/>
      <c r="F249" s="20"/>
      <c r="H249" s="20"/>
      <c r="I249" s="20"/>
      <c r="J249" s="20"/>
    </row>
    <row r="250" customFormat="false" ht="15" hidden="false" customHeight="false" outlineLevel="0" collapsed="false">
      <c r="E250" s="20"/>
      <c r="F250" s="20"/>
      <c r="H250" s="20"/>
      <c r="I250" s="20"/>
      <c r="J250" s="20"/>
    </row>
    <row r="251" customFormat="false" ht="15" hidden="false" customHeight="false" outlineLevel="0" collapsed="false">
      <c r="E251" s="20"/>
      <c r="F251" s="20"/>
      <c r="H251" s="20"/>
      <c r="I251" s="20"/>
      <c r="J251" s="20"/>
    </row>
    <row r="252" customFormat="false" ht="15" hidden="false" customHeight="false" outlineLevel="0" collapsed="false">
      <c r="E252" s="20"/>
      <c r="F252" s="20"/>
      <c r="H252" s="20"/>
      <c r="I252" s="20"/>
      <c r="J252" s="20"/>
    </row>
    <row r="253" customFormat="false" ht="15" hidden="false" customHeight="false" outlineLevel="0" collapsed="false">
      <c r="E253" s="20"/>
      <c r="F253" s="20"/>
      <c r="H253" s="20"/>
      <c r="I253" s="20"/>
      <c r="J253" s="20"/>
    </row>
    <row r="254" customFormat="false" ht="15" hidden="false" customHeight="false" outlineLevel="0" collapsed="false">
      <c r="E254" s="20"/>
      <c r="F254" s="20"/>
      <c r="H254" s="20"/>
      <c r="I254" s="20"/>
      <c r="J254" s="20"/>
    </row>
    <row r="255" customFormat="false" ht="15" hidden="false" customHeight="false" outlineLevel="0" collapsed="false">
      <c r="E255" s="20"/>
      <c r="F255" s="20"/>
      <c r="H255" s="20"/>
      <c r="I255" s="20"/>
      <c r="J255" s="20"/>
    </row>
    <row r="256" customFormat="false" ht="15" hidden="false" customHeight="false" outlineLevel="0" collapsed="false">
      <c r="E256" s="20"/>
      <c r="F256" s="20"/>
      <c r="H256" s="20"/>
      <c r="I256" s="20"/>
      <c r="J256" s="20"/>
    </row>
    <row r="257" customFormat="false" ht="15" hidden="false" customHeight="false" outlineLevel="0" collapsed="false">
      <c r="E257" s="20"/>
      <c r="F257" s="20"/>
      <c r="H257" s="20"/>
      <c r="I257" s="20"/>
      <c r="J257" s="20"/>
    </row>
    <row r="258" customFormat="false" ht="15" hidden="false" customHeight="false" outlineLevel="0" collapsed="false">
      <c r="E258" s="20"/>
      <c r="F258" s="20"/>
      <c r="H258" s="20"/>
      <c r="I258" s="20"/>
      <c r="J258" s="20"/>
    </row>
    <row r="259" customFormat="false" ht="15" hidden="false" customHeight="false" outlineLevel="0" collapsed="false">
      <c r="E259" s="20"/>
      <c r="F259" s="20"/>
      <c r="H259" s="20"/>
      <c r="I259" s="20"/>
      <c r="J259" s="20"/>
    </row>
    <row r="260" customFormat="false" ht="15" hidden="false" customHeight="false" outlineLevel="0" collapsed="false">
      <c r="E260" s="20"/>
      <c r="F260" s="20"/>
      <c r="H260" s="20"/>
      <c r="I260" s="20"/>
      <c r="J260" s="20"/>
    </row>
    <row r="261" customFormat="false" ht="15" hidden="false" customHeight="false" outlineLevel="0" collapsed="false">
      <c r="E261" s="20"/>
      <c r="F261" s="20"/>
      <c r="H261" s="20"/>
      <c r="I261" s="20"/>
      <c r="J261" s="20"/>
    </row>
    <row r="262" customFormat="false" ht="15" hidden="false" customHeight="false" outlineLevel="0" collapsed="false">
      <c r="E262" s="20"/>
      <c r="F262" s="20"/>
      <c r="H262" s="20"/>
      <c r="I262" s="20"/>
      <c r="J262" s="20"/>
    </row>
    <row r="263" customFormat="false" ht="15" hidden="false" customHeight="false" outlineLevel="0" collapsed="false">
      <c r="E263" s="20"/>
      <c r="F263" s="20"/>
      <c r="H263" s="20"/>
      <c r="I263" s="20"/>
      <c r="J263" s="20"/>
    </row>
    <row r="264" customFormat="false" ht="15" hidden="false" customHeight="false" outlineLevel="0" collapsed="false">
      <c r="E264" s="20"/>
      <c r="F264" s="20"/>
      <c r="H264" s="20"/>
      <c r="I264" s="20"/>
      <c r="J264" s="20"/>
    </row>
    <row r="265" customFormat="false" ht="15" hidden="false" customHeight="false" outlineLevel="0" collapsed="false">
      <c r="E265" s="20"/>
      <c r="F265" s="20"/>
      <c r="H265" s="20"/>
      <c r="I265" s="20"/>
      <c r="J265" s="20"/>
    </row>
    <row r="266" customFormat="false" ht="15" hidden="false" customHeight="false" outlineLevel="0" collapsed="false">
      <c r="E266" s="20"/>
      <c r="F266" s="20"/>
      <c r="H266" s="20"/>
      <c r="I266" s="20"/>
      <c r="J266" s="20"/>
    </row>
    <row r="267" customFormat="false" ht="15" hidden="false" customHeight="false" outlineLevel="0" collapsed="false">
      <c r="E267" s="20"/>
      <c r="F267" s="20"/>
      <c r="H267" s="20"/>
      <c r="I267" s="20"/>
      <c r="J267" s="20"/>
    </row>
    <row r="268" customFormat="false" ht="15" hidden="false" customHeight="false" outlineLevel="0" collapsed="false">
      <c r="E268" s="20"/>
      <c r="F268" s="20"/>
      <c r="H268" s="20"/>
      <c r="I268" s="20"/>
      <c r="J268" s="20"/>
    </row>
    <row r="269" customFormat="false" ht="15" hidden="false" customHeight="false" outlineLevel="0" collapsed="false">
      <c r="E269" s="20"/>
      <c r="F269" s="20"/>
      <c r="H269" s="20"/>
      <c r="I269" s="20"/>
      <c r="J269" s="20"/>
    </row>
    <row r="270" customFormat="false" ht="15" hidden="false" customHeight="false" outlineLevel="0" collapsed="false">
      <c r="E270" s="20"/>
      <c r="F270" s="20"/>
      <c r="H270" s="20"/>
      <c r="I270" s="20"/>
      <c r="J270" s="20"/>
    </row>
    <row r="271" customFormat="false" ht="15" hidden="false" customHeight="false" outlineLevel="0" collapsed="false">
      <c r="E271" s="20"/>
      <c r="F271" s="20"/>
      <c r="H271" s="20"/>
      <c r="I271" s="20"/>
      <c r="J271" s="20"/>
    </row>
    <row r="272" customFormat="false" ht="15" hidden="false" customHeight="false" outlineLevel="0" collapsed="false">
      <c r="E272" s="20"/>
      <c r="F272" s="20"/>
      <c r="H272" s="20"/>
      <c r="I272" s="20"/>
      <c r="J272" s="20"/>
    </row>
    <row r="273" customFormat="false" ht="15" hidden="false" customHeight="false" outlineLevel="0" collapsed="false">
      <c r="E273" s="20"/>
      <c r="F273" s="20"/>
      <c r="H273" s="20"/>
      <c r="I273" s="20"/>
      <c r="J273" s="20"/>
    </row>
    <row r="274" customFormat="false" ht="15" hidden="false" customHeight="false" outlineLevel="0" collapsed="false">
      <c r="E274" s="20"/>
      <c r="F274" s="20"/>
      <c r="H274" s="20"/>
      <c r="I274" s="20"/>
      <c r="J274" s="20"/>
    </row>
    <row r="275" customFormat="false" ht="15" hidden="false" customHeight="false" outlineLevel="0" collapsed="false">
      <c r="E275" s="20"/>
      <c r="F275" s="20"/>
      <c r="H275" s="20"/>
      <c r="I275" s="20"/>
      <c r="J275" s="20"/>
    </row>
    <row r="276" customFormat="false" ht="15" hidden="false" customHeight="false" outlineLevel="0" collapsed="false">
      <c r="E276" s="20"/>
      <c r="F276" s="20"/>
      <c r="H276" s="20"/>
      <c r="I276" s="20"/>
      <c r="J276" s="20"/>
    </row>
    <row r="277" customFormat="false" ht="15" hidden="false" customHeight="false" outlineLevel="0" collapsed="false">
      <c r="E277" s="20"/>
      <c r="F277" s="20"/>
      <c r="H277" s="20"/>
      <c r="I277" s="20"/>
      <c r="J277" s="20"/>
    </row>
    <row r="278" customFormat="false" ht="15" hidden="false" customHeight="false" outlineLevel="0" collapsed="false">
      <c r="E278" s="20"/>
      <c r="F278" s="20"/>
      <c r="H278" s="20"/>
      <c r="I278" s="20"/>
      <c r="J278" s="20"/>
    </row>
    <row r="279" customFormat="false" ht="15" hidden="false" customHeight="false" outlineLevel="0" collapsed="false">
      <c r="E279" s="20"/>
      <c r="F279" s="20"/>
      <c r="H279" s="20"/>
      <c r="I279" s="20"/>
      <c r="J279" s="20"/>
    </row>
    <row r="280" customFormat="false" ht="15" hidden="false" customHeight="false" outlineLevel="0" collapsed="false">
      <c r="E280" s="20"/>
      <c r="F280" s="20"/>
      <c r="H280" s="20"/>
      <c r="I280" s="20"/>
      <c r="J280" s="20"/>
    </row>
    <row r="281" customFormat="false" ht="15" hidden="false" customHeight="false" outlineLevel="0" collapsed="false">
      <c r="E281" s="20"/>
      <c r="F281" s="20"/>
      <c r="H281" s="20"/>
      <c r="I281" s="20"/>
      <c r="J281" s="20"/>
    </row>
    <row r="282" customFormat="false" ht="15" hidden="false" customHeight="false" outlineLevel="0" collapsed="false">
      <c r="E282" s="20"/>
      <c r="F282" s="20"/>
      <c r="H282" s="20"/>
      <c r="I282" s="20"/>
      <c r="J282" s="20"/>
    </row>
    <row r="283" customFormat="false" ht="15" hidden="false" customHeight="false" outlineLevel="0" collapsed="false">
      <c r="E283" s="20"/>
      <c r="F283" s="20"/>
      <c r="H283" s="20"/>
      <c r="I283" s="20"/>
      <c r="J283" s="20"/>
    </row>
    <row r="284" customFormat="false" ht="15" hidden="false" customHeight="false" outlineLevel="0" collapsed="false">
      <c r="E284" s="20"/>
      <c r="F284" s="20"/>
      <c r="H284" s="20"/>
      <c r="I284" s="20"/>
      <c r="J284" s="20"/>
    </row>
    <row r="285" customFormat="false" ht="15" hidden="false" customHeight="false" outlineLevel="0" collapsed="false">
      <c r="E285" s="20"/>
      <c r="F285" s="20"/>
      <c r="H285" s="20"/>
      <c r="I285" s="20"/>
      <c r="J285" s="20"/>
    </row>
    <row r="286" customFormat="false" ht="15" hidden="false" customHeight="false" outlineLevel="0" collapsed="false">
      <c r="E286" s="20"/>
      <c r="F286" s="20"/>
      <c r="H286" s="20"/>
      <c r="I286" s="20"/>
      <c r="J286" s="20"/>
    </row>
    <row r="287" customFormat="false" ht="15" hidden="false" customHeight="false" outlineLevel="0" collapsed="false">
      <c r="E287" s="20"/>
      <c r="F287" s="20"/>
      <c r="H287" s="20"/>
      <c r="I287" s="20"/>
      <c r="J287" s="20"/>
    </row>
    <row r="288" customFormat="false" ht="15" hidden="false" customHeight="false" outlineLevel="0" collapsed="false">
      <c r="E288" s="20"/>
      <c r="F288" s="20"/>
      <c r="H288" s="20"/>
      <c r="I288" s="20"/>
      <c r="J288" s="20"/>
    </row>
    <row r="289" customFormat="false" ht="15" hidden="false" customHeight="false" outlineLevel="0" collapsed="false">
      <c r="E289" s="20"/>
      <c r="F289" s="20"/>
      <c r="H289" s="20"/>
      <c r="I289" s="20"/>
      <c r="J289" s="20"/>
    </row>
    <row r="290" customFormat="false" ht="15" hidden="false" customHeight="false" outlineLevel="0" collapsed="false">
      <c r="E290" s="20"/>
      <c r="F290" s="20"/>
      <c r="H290" s="20"/>
      <c r="I290" s="20"/>
      <c r="J290" s="20"/>
    </row>
    <row r="291" customFormat="false" ht="15" hidden="false" customHeight="false" outlineLevel="0" collapsed="false">
      <c r="E291" s="20"/>
      <c r="F291" s="20"/>
      <c r="H291" s="20"/>
      <c r="I291" s="20"/>
      <c r="J291" s="20"/>
    </row>
    <row r="292" customFormat="false" ht="15" hidden="false" customHeight="false" outlineLevel="0" collapsed="false">
      <c r="E292" s="20"/>
      <c r="F292" s="20"/>
      <c r="H292" s="20"/>
      <c r="I292" s="20"/>
      <c r="J292" s="20"/>
    </row>
    <row r="293" customFormat="false" ht="15" hidden="false" customHeight="false" outlineLevel="0" collapsed="false">
      <c r="E293" s="20"/>
      <c r="F293" s="20"/>
      <c r="H293" s="20"/>
      <c r="I293" s="20"/>
      <c r="J293" s="20"/>
    </row>
    <row r="294" customFormat="false" ht="15" hidden="false" customHeight="false" outlineLevel="0" collapsed="false">
      <c r="E294" s="20"/>
      <c r="F294" s="20"/>
      <c r="H294" s="20"/>
      <c r="I294" s="20"/>
      <c r="J294" s="20"/>
    </row>
    <row r="295" customFormat="false" ht="15" hidden="false" customHeight="false" outlineLevel="0" collapsed="false">
      <c r="E295" s="20"/>
      <c r="F295" s="20"/>
      <c r="H295" s="20"/>
      <c r="I295" s="20"/>
      <c r="J295" s="20"/>
    </row>
    <row r="296" customFormat="false" ht="15" hidden="false" customHeight="false" outlineLevel="0" collapsed="false">
      <c r="E296" s="20"/>
      <c r="F296" s="20"/>
      <c r="H296" s="20"/>
      <c r="I296" s="20"/>
      <c r="J296" s="20"/>
    </row>
    <row r="297" customFormat="false" ht="15" hidden="false" customHeight="false" outlineLevel="0" collapsed="false">
      <c r="E297" s="20"/>
      <c r="F297" s="20"/>
      <c r="H297" s="20"/>
      <c r="I297" s="20"/>
      <c r="J297" s="20"/>
    </row>
    <row r="298" customFormat="false" ht="15" hidden="false" customHeight="false" outlineLevel="0" collapsed="false">
      <c r="E298" s="20"/>
      <c r="F298" s="20"/>
      <c r="H298" s="20"/>
      <c r="I298" s="20"/>
      <c r="J298" s="20"/>
    </row>
    <row r="299" customFormat="false" ht="15" hidden="false" customHeight="false" outlineLevel="0" collapsed="false">
      <c r="E299" s="20"/>
      <c r="F299" s="20"/>
      <c r="H299" s="20"/>
      <c r="I299" s="20"/>
      <c r="J299" s="20"/>
    </row>
    <row r="300" customFormat="false" ht="15" hidden="false" customHeight="false" outlineLevel="0" collapsed="false">
      <c r="E300" s="20"/>
      <c r="F300" s="20"/>
      <c r="H300" s="20"/>
      <c r="I300" s="20"/>
      <c r="J300" s="20"/>
    </row>
    <row r="301" customFormat="false" ht="15" hidden="false" customHeight="false" outlineLevel="0" collapsed="false">
      <c r="E301" s="20"/>
      <c r="F301" s="20"/>
      <c r="H301" s="20"/>
      <c r="I301" s="20"/>
      <c r="J301" s="20"/>
    </row>
    <row r="302" customFormat="false" ht="15" hidden="false" customHeight="false" outlineLevel="0" collapsed="false">
      <c r="E302" s="20"/>
      <c r="F302" s="20"/>
      <c r="H302" s="20"/>
      <c r="I302" s="20"/>
      <c r="J302" s="20"/>
    </row>
    <row r="303" customFormat="false" ht="15" hidden="false" customHeight="false" outlineLevel="0" collapsed="false">
      <c r="E303" s="20"/>
      <c r="F303" s="20"/>
      <c r="H303" s="20"/>
      <c r="I303" s="20"/>
      <c r="J303" s="20"/>
    </row>
    <row r="304" customFormat="false" ht="15" hidden="false" customHeight="false" outlineLevel="0" collapsed="false">
      <c r="E304" s="20"/>
      <c r="F304" s="20"/>
      <c r="H304" s="20"/>
      <c r="I304" s="20"/>
      <c r="J304" s="20"/>
    </row>
    <row r="305" customFormat="false" ht="15" hidden="false" customHeight="false" outlineLevel="0" collapsed="false">
      <c r="E305" s="20"/>
      <c r="F305" s="20"/>
      <c r="H305" s="20"/>
      <c r="I305" s="20"/>
      <c r="J305" s="20"/>
    </row>
    <row r="306" customFormat="false" ht="15" hidden="false" customHeight="false" outlineLevel="0" collapsed="false">
      <c r="E306" s="20"/>
      <c r="F306" s="20"/>
      <c r="H306" s="20"/>
      <c r="I306" s="20"/>
      <c r="J306" s="20"/>
    </row>
    <row r="307" customFormat="false" ht="15" hidden="false" customHeight="false" outlineLevel="0" collapsed="false">
      <c r="E307" s="20"/>
      <c r="F307" s="20"/>
      <c r="H307" s="20"/>
      <c r="I307" s="20"/>
      <c r="J307" s="20"/>
    </row>
    <row r="308" customFormat="false" ht="15" hidden="false" customHeight="false" outlineLevel="0" collapsed="false">
      <c r="E308" s="20"/>
      <c r="F308" s="20"/>
      <c r="H308" s="20"/>
      <c r="I308" s="20"/>
      <c r="J308" s="20"/>
    </row>
    <row r="309" customFormat="false" ht="15" hidden="false" customHeight="false" outlineLevel="0" collapsed="false">
      <c r="E309" s="20"/>
      <c r="F309" s="20"/>
      <c r="H309" s="20"/>
      <c r="I309" s="20"/>
      <c r="J309" s="20"/>
    </row>
    <row r="310" customFormat="false" ht="15" hidden="false" customHeight="false" outlineLevel="0" collapsed="false">
      <c r="E310" s="20"/>
      <c r="F310" s="20"/>
      <c r="H310" s="20"/>
      <c r="I310" s="20"/>
      <c r="J310" s="20"/>
    </row>
    <row r="311" customFormat="false" ht="15" hidden="false" customHeight="false" outlineLevel="0" collapsed="false">
      <c r="E311" s="20"/>
      <c r="F311" s="20"/>
      <c r="H311" s="20"/>
      <c r="I311" s="20"/>
      <c r="J311" s="20"/>
    </row>
    <row r="312" customFormat="false" ht="15" hidden="false" customHeight="false" outlineLevel="0" collapsed="false">
      <c r="E312" s="20"/>
      <c r="F312" s="20"/>
      <c r="H312" s="20"/>
      <c r="I312" s="20"/>
      <c r="J312" s="20"/>
    </row>
    <row r="313" customFormat="false" ht="15" hidden="false" customHeight="false" outlineLevel="0" collapsed="false">
      <c r="E313" s="20"/>
      <c r="F313" s="20"/>
      <c r="H313" s="20"/>
      <c r="I313" s="20"/>
      <c r="J313" s="20"/>
    </row>
    <row r="314" customFormat="false" ht="15" hidden="false" customHeight="false" outlineLevel="0" collapsed="false">
      <c r="E314" s="20"/>
      <c r="F314" s="20"/>
      <c r="H314" s="20"/>
      <c r="I314" s="20"/>
      <c r="J314" s="20"/>
    </row>
    <row r="315" customFormat="false" ht="15" hidden="false" customHeight="false" outlineLevel="0" collapsed="false">
      <c r="E315" s="20"/>
      <c r="F315" s="20"/>
      <c r="H315" s="20"/>
      <c r="I315" s="20"/>
      <c r="J315" s="20"/>
    </row>
    <row r="316" customFormat="false" ht="15" hidden="false" customHeight="false" outlineLevel="0" collapsed="false">
      <c r="E316" s="20"/>
      <c r="F316" s="20"/>
      <c r="H316" s="20"/>
      <c r="I316" s="20"/>
      <c r="J316" s="20"/>
    </row>
    <row r="317" customFormat="false" ht="15" hidden="false" customHeight="false" outlineLevel="0" collapsed="false">
      <c r="E317" s="20"/>
      <c r="F317" s="20"/>
      <c r="H317" s="20"/>
      <c r="I317" s="20"/>
      <c r="J317" s="20"/>
    </row>
    <row r="318" customFormat="false" ht="15" hidden="false" customHeight="false" outlineLevel="0" collapsed="false">
      <c r="E318" s="20"/>
      <c r="F318" s="20"/>
      <c r="H318" s="20"/>
      <c r="I318" s="20"/>
      <c r="J318" s="20"/>
    </row>
    <row r="319" customFormat="false" ht="15" hidden="false" customHeight="false" outlineLevel="0" collapsed="false">
      <c r="E319" s="20"/>
      <c r="F319" s="20"/>
      <c r="H319" s="20"/>
      <c r="I319" s="20"/>
      <c r="J319" s="20"/>
    </row>
    <row r="320" customFormat="false" ht="15" hidden="false" customHeight="false" outlineLevel="0" collapsed="false">
      <c r="E320" s="20"/>
      <c r="F320" s="20"/>
      <c r="H320" s="20"/>
      <c r="I320" s="20"/>
      <c r="J320" s="20"/>
    </row>
    <row r="321" customFormat="false" ht="15" hidden="false" customHeight="false" outlineLevel="0" collapsed="false">
      <c r="E321" s="20"/>
      <c r="F321" s="20"/>
      <c r="H321" s="20"/>
      <c r="I321" s="20"/>
      <c r="J321" s="20"/>
    </row>
    <row r="322" customFormat="false" ht="15" hidden="false" customHeight="false" outlineLevel="0" collapsed="false">
      <c r="E322" s="20"/>
      <c r="F322" s="20"/>
      <c r="H322" s="20"/>
      <c r="I322" s="20"/>
      <c r="J322" s="20"/>
    </row>
    <row r="323" customFormat="false" ht="15" hidden="false" customHeight="false" outlineLevel="0" collapsed="false">
      <c r="E323" s="20"/>
      <c r="F323" s="20"/>
      <c r="H323" s="20"/>
      <c r="I323" s="20"/>
      <c r="J323" s="20"/>
    </row>
    <row r="324" customFormat="false" ht="15" hidden="false" customHeight="false" outlineLevel="0" collapsed="false">
      <c r="E324" s="20"/>
      <c r="F324" s="20"/>
      <c r="H324" s="20"/>
      <c r="I324" s="20"/>
      <c r="J324" s="20"/>
    </row>
    <row r="325" customFormat="false" ht="15" hidden="false" customHeight="false" outlineLevel="0" collapsed="false">
      <c r="E325" s="20"/>
      <c r="F325" s="20"/>
      <c r="H325" s="20"/>
      <c r="I325" s="20"/>
      <c r="J325" s="20"/>
    </row>
    <row r="326" customFormat="false" ht="15" hidden="false" customHeight="false" outlineLevel="0" collapsed="false">
      <c r="E326" s="20"/>
      <c r="F326" s="20"/>
      <c r="H326" s="20"/>
      <c r="I326" s="20"/>
      <c r="J326" s="20"/>
    </row>
    <row r="327" customFormat="false" ht="15" hidden="false" customHeight="false" outlineLevel="0" collapsed="false">
      <c r="E327" s="20"/>
      <c r="F327" s="20"/>
      <c r="H327" s="20"/>
      <c r="I327" s="20"/>
      <c r="J327" s="20"/>
    </row>
    <row r="328" customFormat="false" ht="15" hidden="false" customHeight="false" outlineLevel="0" collapsed="false">
      <c r="E328" s="20"/>
      <c r="F328" s="20"/>
      <c r="H328" s="20"/>
      <c r="I328" s="20"/>
      <c r="J328" s="20"/>
    </row>
    <row r="329" customFormat="false" ht="15" hidden="false" customHeight="false" outlineLevel="0" collapsed="false">
      <c r="E329" s="20"/>
      <c r="F329" s="20"/>
      <c r="H329" s="20"/>
      <c r="I329" s="20"/>
      <c r="J329" s="20"/>
    </row>
    <row r="330" customFormat="false" ht="15" hidden="false" customHeight="false" outlineLevel="0" collapsed="false">
      <c r="E330" s="20"/>
      <c r="F330" s="20"/>
      <c r="H330" s="20"/>
      <c r="I330" s="20"/>
      <c r="J330" s="20"/>
    </row>
    <row r="331" customFormat="false" ht="15" hidden="false" customHeight="false" outlineLevel="0" collapsed="false">
      <c r="E331" s="20"/>
      <c r="F331" s="20"/>
      <c r="H331" s="20"/>
      <c r="I331" s="20"/>
      <c r="J331" s="20"/>
    </row>
    <row r="332" customFormat="false" ht="15" hidden="false" customHeight="false" outlineLevel="0" collapsed="false">
      <c r="E332" s="20"/>
      <c r="F332" s="20"/>
      <c r="H332" s="20"/>
      <c r="I332" s="20"/>
      <c r="J332" s="20"/>
    </row>
    <row r="333" customFormat="false" ht="15" hidden="false" customHeight="false" outlineLevel="0" collapsed="false">
      <c r="E333" s="20"/>
      <c r="F333" s="20"/>
      <c r="H333" s="20"/>
      <c r="I333" s="20"/>
      <c r="J333" s="20"/>
    </row>
    <row r="334" customFormat="false" ht="15" hidden="false" customHeight="false" outlineLevel="0" collapsed="false">
      <c r="E334" s="20"/>
      <c r="F334" s="20"/>
      <c r="H334" s="20"/>
      <c r="I334" s="20"/>
      <c r="J334" s="20"/>
    </row>
    <row r="335" customFormat="false" ht="15" hidden="false" customHeight="false" outlineLevel="0" collapsed="false">
      <c r="E335" s="20"/>
      <c r="F335" s="20"/>
      <c r="H335" s="20"/>
      <c r="I335" s="20"/>
      <c r="J335" s="20"/>
    </row>
    <row r="336" customFormat="false" ht="15" hidden="false" customHeight="false" outlineLevel="0" collapsed="false">
      <c r="E336" s="20"/>
      <c r="F336" s="20"/>
      <c r="H336" s="20"/>
      <c r="I336" s="20"/>
      <c r="J336" s="20"/>
    </row>
    <row r="337" customFormat="false" ht="15" hidden="false" customHeight="false" outlineLevel="0" collapsed="false">
      <c r="E337" s="20"/>
      <c r="F337" s="20"/>
      <c r="H337" s="20"/>
      <c r="I337" s="20"/>
      <c r="J337" s="20"/>
    </row>
    <row r="338" customFormat="false" ht="15" hidden="false" customHeight="false" outlineLevel="0" collapsed="false">
      <c r="E338" s="20"/>
      <c r="F338" s="20"/>
      <c r="H338" s="20"/>
      <c r="I338" s="20"/>
      <c r="J338" s="20"/>
    </row>
    <row r="339" customFormat="false" ht="15" hidden="false" customHeight="false" outlineLevel="0" collapsed="false">
      <c r="E339" s="20"/>
      <c r="F339" s="20"/>
      <c r="H339" s="20"/>
      <c r="I339" s="20"/>
      <c r="J339" s="20"/>
    </row>
    <row r="340" customFormat="false" ht="15" hidden="false" customHeight="false" outlineLevel="0" collapsed="false">
      <c r="E340" s="20"/>
      <c r="F340" s="20"/>
      <c r="H340" s="20"/>
      <c r="I340" s="20"/>
      <c r="J340" s="20"/>
    </row>
    <row r="341" customFormat="false" ht="15" hidden="false" customHeight="false" outlineLevel="0" collapsed="false">
      <c r="E341" s="20"/>
      <c r="F341" s="20"/>
      <c r="H341" s="20"/>
      <c r="I341" s="20"/>
      <c r="J341" s="20"/>
    </row>
    <row r="342" customFormat="false" ht="15" hidden="false" customHeight="false" outlineLevel="0" collapsed="false">
      <c r="E342" s="20"/>
      <c r="F342" s="20"/>
      <c r="H342" s="20"/>
      <c r="I342" s="20"/>
      <c r="J342" s="20"/>
    </row>
    <row r="343" customFormat="false" ht="15" hidden="false" customHeight="false" outlineLevel="0" collapsed="false">
      <c r="E343" s="20"/>
      <c r="F343" s="20"/>
      <c r="H343" s="20"/>
      <c r="I343" s="20"/>
      <c r="J343" s="20"/>
    </row>
    <row r="344" customFormat="false" ht="15" hidden="false" customHeight="false" outlineLevel="0" collapsed="false">
      <c r="E344" s="20"/>
      <c r="F344" s="20"/>
      <c r="H344" s="20"/>
      <c r="I344" s="20"/>
      <c r="J344" s="20"/>
    </row>
    <row r="345" customFormat="false" ht="15" hidden="false" customHeight="false" outlineLevel="0" collapsed="false">
      <c r="E345" s="20"/>
      <c r="F345" s="20"/>
      <c r="H345" s="20"/>
      <c r="I345" s="20"/>
      <c r="J345" s="20"/>
    </row>
    <row r="346" customFormat="false" ht="15" hidden="false" customHeight="false" outlineLevel="0" collapsed="false">
      <c r="E346" s="20"/>
      <c r="F346" s="20"/>
      <c r="H346" s="20"/>
      <c r="I346" s="20"/>
      <c r="J346" s="20"/>
    </row>
    <row r="347" customFormat="false" ht="15" hidden="false" customHeight="false" outlineLevel="0" collapsed="false">
      <c r="E347" s="20"/>
      <c r="F347" s="20"/>
      <c r="H347" s="20"/>
      <c r="I347" s="20"/>
      <c r="J347" s="20"/>
    </row>
    <row r="348" customFormat="false" ht="15" hidden="false" customHeight="false" outlineLevel="0" collapsed="false">
      <c r="E348" s="20"/>
      <c r="F348" s="20"/>
      <c r="H348" s="20"/>
      <c r="I348" s="20"/>
      <c r="J348" s="20"/>
    </row>
    <row r="349" customFormat="false" ht="15" hidden="false" customHeight="false" outlineLevel="0" collapsed="false">
      <c r="E349" s="20"/>
      <c r="F349" s="20"/>
      <c r="H349" s="20"/>
      <c r="I349" s="20"/>
      <c r="J349" s="20"/>
    </row>
    <row r="350" customFormat="false" ht="15" hidden="false" customHeight="false" outlineLevel="0" collapsed="false">
      <c r="E350" s="20"/>
      <c r="F350" s="20"/>
      <c r="H350" s="20"/>
      <c r="I350" s="20"/>
      <c r="J350" s="20"/>
    </row>
    <row r="351" customFormat="false" ht="15" hidden="false" customHeight="false" outlineLevel="0" collapsed="false">
      <c r="E351" s="20"/>
      <c r="F351" s="20"/>
      <c r="H351" s="20"/>
      <c r="I351" s="20"/>
      <c r="J351" s="20"/>
    </row>
    <row r="352" customFormat="false" ht="15" hidden="false" customHeight="false" outlineLevel="0" collapsed="false">
      <c r="E352" s="20"/>
      <c r="F352" s="20"/>
      <c r="H352" s="20"/>
      <c r="I352" s="20"/>
      <c r="J352" s="20"/>
    </row>
    <row r="353" customFormat="false" ht="15" hidden="false" customHeight="false" outlineLevel="0" collapsed="false">
      <c r="E353" s="20"/>
      <c r="F353" s="20"/>
      <c r="H353" s="20"/>
      <c r="I353" s="20"/>
      <c r="J353" s="20"/>
    </row>
    <row r="354" customFormat="false" ht="15" hidden="false" customHeight="false" outlineLevel="0" collapsed="false">
      <c r="E354" s="20"/>
      <c r="F354" s="20"/>
      <c r="H354" s="20"/>
      <c r="I354" s="20"/>
      <c r="J354" s="20"/>
    </row>
    <row r="355" customFormat="false" ht="15" hidden="false" customHeight="false" outlineLevel="0" collapsed="false">
      <c r="E355" s="20"/>
      <c r="F355" s="20"/>
      <c r="H355" s="20"/>
      <c r="I355" s="20"/>
      <c r="J355" s="20"/>
    </row>
    <row r="356" customFormat="false" ht="15" hidden="false" customHeight="false" outlineLevel="0" collapsed="false">
      <c r="E356" s="20"/>
      <c r="F356" s="20"/>
      <c r="H356" s="20"/>
      <c r="I356" s="20"/>
      <c r="J356" s="20"/>
    </row>
    <row r="357" customFormat="false" ht="15" hidden="false" customHeight="false" outlineLevel="0" collapsed="false">
      <c r="E357" s="20"/>
      <c r="F357" s="20"/>
      <c r="H357" s="20"/>
      <c r="I357" s="20"/>
      <c r="J357" s="20"/>
    </row>
    <row r="358" customFormat="false" ht="15" hidden="false" customHeight="false" outlineLevel="0" collapsed="false">
      <c r="E358" s="20"/>
      <c r="F358" s="20"/>
      <c r="H358" s="20"/>
      <c r="I358" s="20"/>
      <c r="J358" s="20"/>
    </row>
    <row r="359" customFormat="false" ht="15" hidden="false" customHeight="false" outlineLevel="0" collapsed="false">
      <c r="E359" s="20"/>
      <c r="F359" s="20"/>
      <c r="H359" s="20"/>
      <c r="I359" s="20"/>
      <c r="J359" s="20"/>
    </row>
    <row r="360" customFormat="false" ht="15" hidden="false" customHeight="false" outlineLevel="0" collapsed="false">
      <c r="E360" s="20"/>
      <c r="F360" s="20"/>
      <c r="H360" s="20"/>
      <c r="I360" s="20"/>
      <c r="J360" s="20"/>
    </row>
    <row r="361" customFormat="false" ht="15" hidden="false" customHeight="false" outlineLevel="0" collapsed="false">
      <c r="E361" s="20"/>
      <c r="F361" s="20"/>
      <c r="H361" s="20"/>
      <c r="I361" s="20"/>
      <c r="J361" s="20"/>
    </row>
    <row r="362" customFormat="false" ht="15" hidden="false" customHeight="false" outlineLevel="0" collapsed="false">
      <c r="E362" s="20"/>
      <c r="F362" s="20"/>
      <c r="H362" s="20"/>
      <c r="I362" s="20"/>
      <c r="J362" s="20"/>
    </row>
    <row r="363" customFormat="false" ht="15" hidden="false" customHeight="false" outlineLevel="0" collapsed="false">
      <c r="E363" s="20"/>
      <c r="F363" s="20"/>
      <c r="H363" s="20"/>
      <c r="I363" s="20"/>
      <c r="J363" s="20"/>
    </row>
    <row r="364" customFormat="false" ht="15" hidden="false" customHeight="false" outlineLevel="0" collapsed="false">
      <c r="E364" s="20"/>
      <c r="F364" s="20"/>
      <c r="H364" s="20"/>
      <c r="I364" s="20"/>
      <c r="J364" s="20"/>
    </row>
    <row r="365" customFormat="false" ht="15" hidden="false" customHeight="false" outlineLevel="0" collapsed="false">
      <c r="E365" s="20"/>
      <c r="F365" s="20"/>
      <c r="H365" s="20"/>
      <c r="I365" s="20"/>
      <c r="J365" s="20"/>
    </row>
    <row r="366" customFormat="false" ht="15" hidden="false" customHeight="false" outlineLevel="0" collapsed="false">
      <c r="E366" s="20"/>
      <c r="F366" s="20"/>
      <c r="H366" s="20"/>
      <c r="I366" s="20"/>
      <c r="J366" s="20"/>
    </row>
    <row r="367" customFormat="false" ht="15" hidden="false" customHeight="false" outlineLevel="0" collapsed="false">
      <c r="E367" s="20"/>
      <c r="F367" s="20"/>
      <c r="H367" s="20"/>
      <c r="I367" s="20"/>
      <c r="J367" s="20"/>
    </row>
    <row r="368" customFormat="false" ht="15" hidden="false" customHeight="false" outlineLevel="0" collapsed="false">
      <c r="E368" s="20"/>
      <c r="F368" s="20"/>
      <c r="H368" s="20"/>
      <c r="I368" s="20"/>
      <c r="J368" s="20"/>
    </row>
    <row r="369" customFormat="false" ht="15" hidden="false" customHeight="false" outlineLevel="0" collapsed="false">
      <c r="E369" s="20"/>
      <c r="F369" s="20"/>
      <c r="H369" s="20"/>
      <c r="I369" s="20"/>
      <c r="J369" s="20"/>
    </row>
    <row r="370" customFormat="false" ht="15" hidden="false" customHeight="false" outlineLevel="0" collapsed="false">
      <c r="E370" s="20"/>
      <c r="F370" s="20"/>
      <c r="H370" s="20"/>
      <c r="I370" s="20"/>
      <c r="J370" s="20"/>
    </row>
    <row r="371" customFormat="false" ht="15" hidden="false" customHeight="false" outlineLevel="0" collapsed="false">
      <c r="E371" s="20"/>
      <c r="F371" s="20"/>
      <c r="H371" s="20"/>
      <c r="I371" s="20"/>
      <c r="J371" s="20"/>
    </row>
    <row r="372" customFormat="false" ht="15" hidden="false" customHeight="false" outlineLevel="0" collapsed="false">
      <c r="E372" s="20"/>
      <c r="F372" s="20"/>
      <c r="H372" s="20"/>
      <c r="I372" s="20"/>
      <c r="J372" s="20"/>
    </row>
    <row r="373" customFormat="false" ht="15" hidden="false" customHeight="false" outlineLevel="0" collapsed="false">
      <c r="E373" s="20"/>
      <c r="F373" s="20"/>
      <c r="H373" s="20"/>
      <c r="I373" s="20"/>
      <c r="J373" s="20"/>
    </row>
    <row r="374" customFormat="false" ht="15" hidden="false" customHeight="false" outlineLevel="0" collapsed="false">
      <c r="E374" s="20"/>
      <c r="F374" s="20"/>
      <c r="H374" s="20"/>
      <c r="I374" s="20"/>
      <c r="J374" s="20"/>
    </row>
    <row r="375" customFormat="false" ht="15" hidden="false" customHeight="false" outlineLevel="0" collapsed="false">
      <c r="E375" s="20"/>
      <c r="F375" s="20"/>
      <c r="H375" s="20"/>
      <c r="I375" s="20"/>
      <c r="J375" s="20"/>
    </row>
    <row r="376" customFormat="false" ht="15" hidden="false" customHeight="false" outlineLevel="0" collapsed="false">
      <c r="E376" s="20"/>
      <c r="F376" s="20"/>
      <c r="H376" s="20"/>
      <c r="I376" s="20"/>
      <c r="J376" s="20"/>
    </row>
    <row r="377" customFormat="false" ht="15" hidden="false" customHeight="false" outlineLevel="0" collapsed="false">
      <c r="E377" s="20"/>
      <c r="F377" s="20"/>
      <c r="H377" s="20"/>
      <c r="I377" s="20"/>
      <c r="J377" s="20"/>
    </row>
    <row r="378" customFormat="false" ht="15" hidden="false" customHeight="false" outlineLevel="0" collapsed="false">
      <c r="E378" s="20"/>
      <c r="F378" s="20"/>
      <c r="H378" s="20"/>
      <c r="I378" s="20"/>
      <c r="J378" s="20"/>
    </row>
    <row r="379" customFormat="false" ht="15" hidden="false" customHeight="false" outlineLevel="0" collapsed="false">
      <c r="E379" s="20"/>
      <c r="F379" s="20"/>
      <c r="H379" s="20"/>
      <c r="I379" s="20"/>
      <c r="J379" s="20"/>
    </row>
    <row r="380" customFormat="false" ht="15" hidden="false" customHeight="false" outlineLevel="0" collapsed="false">
      <c r="E380" s="20"/>
      <c r="F380" s="20"/>
      <c r="H380" s="20"/>
      <c r="I380" s="20"/>
      <c r="J380" s="20"/>
    </row>
    <row r="381" customFormat="false" ht="15" hidden="false" customHeight="false" outlineLevel="0" collapsed="false">
      <c r="E381" s="20"/>
      <c r="F381" s="20"/>
      <c r="H381" s="20"/>
      <c r="I381" s="20"/>
      <c r="J381" s="20"/>
    </row>
    <row r="382" customFormat="false" ht="15" hidden="false" customHeight="false" outlineLevel="0" collapsed="false">
      <c r="E382" s="20"/>
      <c r="F382" s="20"/>
      <c r="H382" s="20"/>
      <c r="I382" s="20"/>
      <c r="J382" s="20"/>
    </row>
    <row r="383" customFormat="false" ht="15" hidden="false" customHeight="false" outlineLevel="0" collapsed="false">
      <c r="E383" s="20"/>
      <c r="F383" s="20"/>
      <c r="H383" s="20"/>
      <c r="I383" s="20"/>
      <c r="J383" s="20"/>
    </row>
    <row r="384" customFormat="false" ht="15" hidden="false" customHeight="false" outlineLevel="0" collapsed="false">
      <c r="E384" s="20"/>
      <c r="F384" s="20"/>
      <c r="H384" s="20"/>
      <c r="I384" s="20"/>
      <c r="J384" s="20"/>
    </row>
    <row r="385" customFormat="false" ht="15" hidden="false" customHeight="false" outlineLevel="0" collapsed="false">
      <c r="E385" s="20"/>
      <c r="F385" s="20"/>
      <c r="H385" s="20"/>
      <c r="I385" s="20"/>
      <c r="J385" s="20"/>
    </row>
    <row r="386" customFormat="false" ht="15" hidden="false" customHeight="false" outlineLevel="0" collapsed="false">
      <c r="E386" s="20"/>
      <c r="F386" s="20"/>
      <c r="H386" s="20"/>
      <c r="I386" s="20"/>
      <c r="J386" s="20"/>
    </row>
    <row r="387" customFormat="false" ht="15" hidden="false" customHeight="false" outlineLevel="0" collapsed="false">
      <c r="E387" s="20"/>
      <c r="F387" s="20"/>
      <c r="H387" s="20"/>
      <c r="I387" s="20"/>
      <c r="J387" s="20"/>
    </row>
    <row r="388" customFormat="false" ht="15" hidden="false" customHeight="false" outlineLevel="0" collapsed="false">
      <c r="E388" s="20"/>
      <c r="F388" s="20"/>
      <c r="H388" s="20"/>
      <c r="I388" s="20"/>
      <c r="J388" s="20"/>
    </row>
    <row r="389" customFormat="false" ht="15" hidden="false" customHeight="false" outlineLevel="0" collapsed="false">
      <c r="E389" s="20"/>
      <c r="F389" s="20"/>
      <c r="H389" s="20"/>
      <c r="I389" s="20"/>
      <c r="J389" s="20"/>
    </row>
    <row r="390" customFormat="false" ht="15" hidden="false" customHeight="false" outlineLevel="0" collapsed="false">
      <c r="E390" s="20"/>
      <c r="F390" s="20"/>
      <c r="H390" s="20"/>
      <c r="I390" s="20"/>
      <c r="J390" s="20"/>
    </row>
    <row r="391" customFormat="false" ht="15" hidden="false" customHeight="false" outlineLevel="0" collapsed="false">
      <c r="E391" s="20"/>
      <c r="F391" s="20"/>
      <c r="H391" s="20"/>
      <c r="I391" s="20"/>
      <c r="J391" s="20"/>
    </row>
    <row r="392" customFormat="false" ht="15" hidden="false" customHeight="false" outlineLevel="0" collapsed="false">
      <c r="E392" s="20"/>
      <c r="F392" s="20"/>
      <c r="H392" s="20"/>
      <c r="I392" s="20"/>
      <c r="J392" s="20"/>
    </row>
    <row r="393" customFormat="false" ht="15" hidden="false" customHeight="false" outlineLevel="0" collapsed="false">
      <c r="E393" s="20"/>
      <c r="F393" s="20"/>
      <c r="H393" s="20"/>
      <c r="I393" s="20"/>
      <c r="J393" s="20"/>
    </row>
    <row r="394" customFormat="false" ht="15" hidden="false" customHeight="false" outlineLevel="0" collapsed="false">
      <c r="E394" s="20"/>
      <c r="F394" s="20"/>
      <c r="H394" s="20"/>
      <c r="I394" s="20"/>
      <c r="J394" s="20"/>
    </row>
    <row r="395" customFormat="false" ht="15" hidden="false" customHeight="false" outlineLevel="0" collapsed="false">
      <c r="E395" s="20"/>
      <c r="F395" s="20"/>
      <c r="H395" s="20"/>
      <c r="I395" s="20"/>
      <c r="J395" s="20"/>
    </row>
    <row r="396" customFormat="false" ht="15" hidden="false" customHeight="false" outlineLevel="0" collapsed="false">
      <c r="E396" s="20"/>
      <c r="F396" s="20"/>
      <c r="H396" s="20"/>
      <c r="I396" s="20"/>
      <c r="J396" s="20"/>
    </row>
    <row r="397" customFormat="false" ht="15" hidden="false" customHeight="false" outlineLevel="0" collapsed="false">
      <c r="E397" s="20"/>
      <c r="F397" s="20"/>
      <c r="H397" s="20"/>
      <c r="I397" s="20"/>
      <c r="J397" s="20"/>
    </row>
    <row r="398" customFormat="false" ht="15" hidden="false" customHeight="false" outlineLevel="0" collapsed="false">
      <c r="E398" s="20"/>
      <c r="F398" s="20"/>
      <c r="H398" s="20"/>
      <c r="I398" s="20"/>
      <c r="J398" s="20"/>
    </row>
    <row r="399" customFormat="false" ht="15" hidden="false" customHeight="false" outlineLevel="0" collapsed="false">
      <c r="E399" s="20"/>
      <c r="F399" s="20"/>
      <c r="H399" s="20"/>
      <c r="I399" s="20"/>
      <c r="J399" s="20"/>
    </row>
    <row r="400" customFormat="false" ht="15" hidden="false" customHeight="false" outlineLevel="0" collapsed="false">
      <c r="E400" s="20"/>
      <c r="F400" s="20"/>
      <c r="H400" s="20"/>
      <c r="I400" s="20"/>
      <c r="J400" s="20"/>
    </row>
    <row r="401" customFormat="false" ht="15" hidden="false" customHeight="false" outlineLevel="0" collapsed="false">
      <c r="E401" s="20"/>
      <c r="F401" s="20"/>
      <c r="H401" s="20"/>
      <c r="I401" s="20"/>
      <c r="J401" s="20"/>
    </row>
    <row r="402" customFormat="false" ht="15" hidden="false" customHeight="false" outlineLevel="0" collapsed="false">
      <c r="E402" s="20"/>
      <c r="F402" s="20"/>
      <c r="H402" s="20"/>
      <c r="I402" s="20"/>
      <c r="J402" s="20"/>
    </row>
    <row r="403" customFormat="false" ht="15" hidden="false" customHeight="false" outlineLevel="0" collapsed="false">
      <c r="E403" s="20"/>
      <c r="F403" s="20"/>
      <c r="H403" s="20"/>
      <c r="I403" s="20"/>
      <c r="J403" s="20"/>
    </row>
    <row r="404" customFormat="false" ht="15" hidden="false" customHeight="false" outlineLevel="0" collapsed="false">
      <c r="E404" s="20"/>
      <c r="F404" s="20"/>
      <c r="H404" s="20"/>
      <c r="I404" s="20"/>
      <c r="J404" s="20"/>
    </row>
    <row r="405" customFormat="false" ht="15" hidden="false" customHeight="false" outlineLevel="0" collapsed="false">
      <c r="E405" s="20"/>
      <c r="F405" s="20"/>
      <c r="H405" s="20"/>
      <c r="I405" s="20"/>
      <c r="J405" s="20"/>
    </row>
    <row r="406" customFormat="false" ht="15" hidden="false" customHeight="false" outlineLevel="0" collapsed="false">
      <c r="E406" s="20"/>
      <c r="F406" s="20"/>
      <c r="H406" s="20"/>
      <c r="I406" s="20"/>
      <c r="J406" s="20"/>
    </row>
    <row r="407" customFormat="false" ht="15" hidden="false" customHeight="false" outlineLevel="0" collapsed="false">
      <c r="E407" s="20"/>
      <c r="F407" s="20"/>
      <c r="H407" s="20"/>
      <c r="I407" s="20"/>
      <c r="J407" s="20"/>
    </row>
    <row r="408" customFormat="false" ht="15" hidden="false" customHeight="false" outlineLevel="0" collapsed="false">
      <c r="E408" s="20"/>
      <c r="F408" s="20"/>
      <c r="H408" s="20"/>
      <c r="I408" s="20"/>
      <c r="J408" s="20"/>
    </row>
    <row r="409" customFormat="false" ht="15" hidden="false" customHeight="false" outlineLevel="0" collapsed="false">
      <c r="E409" s="20"/>
      <c r="F409" s="20"/>
      <c r="H409" s="20"/>
      <c r="I409" s="20"/>
      <c r="J409" s="20"/>
    </row>
    <row r="410" customFormat="false" ht="15" hidden="false" customHeight="false" outlineLevel="0" collapsed="false">
      <c r="E410" s="20"/>
      <c r="F410" s="20"/>
      <c r="H410" s="20"/>
      <c r="I410" s="20"/>
      <c r="J410" s="20"/>
    </row>
    <row r="411" customFormat="false" ht="15" hidden="false" customHeight="false" outlineLevel="0" collapsed="false">
      <c r="E411" s="20"/>
      <c r="F411" s="20"/>
      <c r="H411" s="20"/>
      <c r="I411" s="20"/>
      <c r="J411" s="20"/>
    </row>
    <row r="412" customFormat="false" ht="15" hidden="false" customHeight="false" outlineLevel="0" collapsed="false">
      <c r="E412" s="20"/>
      <c r="F412" s="20"/>
      <c r="H412" s="20"/>
      <c r="I412" s="20"/>
      <c r="J412" s="20"/>
    </row>
    <row r="413" customFormat="false" ht="15" hidden="false" customHeight="false" outlineLevel="0" collapsed="false">
      <c r="E413" s="20"/>
      <c r="F413" s="20"/>
      <c r="H413" s="20"/>
      <c r="I413" s="20"/>
      <c r="J413" s="20"/>
    </row>
    <row r="414" customFormat="false" ht="15" hidden="false" customHeight="false" outlineLevel="0" collapsed="false">
      <c r="E414" s="20"/>
      <c r="F414" s="20"/>
      <c r="H414" s="20"/>
      <c r="I414" s="20"/>
      <c r="J414" s="20"/>
    </row>
    <row r="415" customFormat="false" ht="15" hidden="false" customHeight="false" outlineLevel="0" collapsed="false">
      <c r="E415" s="20"/>
      <c r="F415" s="20"/>
      <c r="H415" s="20"/>
      <c r="I415" s="20"/>
      <c r="J415" s="20"/>
    </row>
    <row r="416" customFormat="false" ht="15" hidden="false" customHeight="false" outlineLevel="0" collapsed="false">
      <c r="E416" s="20"/>
      <c r="F416" s="20"/>
      <c r="H416" s="20"/>
      <c r="I416" s="20"/>
      <c r="J416" s="20"/>
    </row>
    <row r="417" customFormat="false" ht="15" hidden="false" customHeight="false" outlineLevel="0" collapsed="false">
      <c r="E417" s="20"/>
      <c r="F417" s="20"/>
      <c r="H417" s="20"/>
      <c r="I417" s="20"/>
      <c r="J417" s="20"/>
    </row>
    <row r="418" customFormat="false" ht="15" hidden="false" customHeight="false" outlineLevel="0" collapsed="false">
      <c r="E418" s="20"/>
      <c r="F418" s="20"/>
      <c r="H418" s="20"/>
      <c r="I418" s="20"/>
      <c r="J418" s="20"/>
    </row>
    <row r="419" customFormat="false" ht="15" hidden="false" customHeight="false" outlineLevel="0" collapsed="false">
      <c r="E419" s="20"/>
      <c r="F419" s="20"/>
      <c r="H419" s="20"/>
      <c r="I419" s="20"/>
      <c r="J419" s="20"/>
    </row>
    <row r="420" customFormat="false" ht="15" hidden="false" customHeight="false" outlineLevel="0" collapsed="false">
      <c r="E420" s="20"/>
      <c r="F420" s="20"/>
      <c r="H420" s="20"/>
      <c r="I420" s="20"/>
      <c r="J420" s="20"/>
    </row>
    <row r="421" customFormat="false" ht="15" hidden="false" customHeight="false" outlineLevel="0" collapsed="false">
      <c r="E421" s="20"/>
      <c r="F421" s="20"/>
      <c r="H421" s="20"/>
      <c r="I421" s="20"/>
      <c r="J421" s="20"/>
    </row>
    <row r="422" customFormat="false" ht="15" hidden="false" customHeight="false" outlineLevel="0" collapsed="false">
      <c r="E422" s="20"/>
      <c r="F422" s="20"/>
      <c r="H422" s="20"/>
      <c r="I422" s="20"/>
      <c r="J422" s="20"/>
    </row>
    <row r="423" customFormat="false" ht="15" hidden="false" customHeight="false" outlineLevel="0" collapsed="false">
      <c r="E423" s="20"/>
      <c r="F423" s="20"/>
      <c r="H423" s="20"/>
      <c r="I423" s="20"/>
      <c r="J423" s="20"/>
    </row>
    <row r="424" customFormat="false" ht="15" hidden="false" customHeight="false" outlineLevel="0" collapsed="false">
      <c r="E424" s="20"/>
      <c r="F424" s="20"/>
      <c r="H424" s="20"/>
      <c r="I424" s="20"/>
      <c r="J424" s="20"/>
    </row>
    <row r="425" customFormat="false" ht="15" hidden="false" customHeight="false" outlineLevel="0" collapsed="false">
      <c r="E425" s="20"/>
      <c r="F425" s="20"/>
      <c r="H425" s="20"/>
      <c r="I425" s="20"/>
      <c r="J425" s="20"/>
    </row>
    <row r="426" customFormat="false" ht="15" hidden="false" customHeight="false" outlineLevel="0" collapsed="false">
      <c r="E426" s="20"/>
      <c r="F426" s="20"/>
      <c r="H426" s="20"/>
      <c r="I426" s="20"/>
      <c r="J426" s="20"/>
    </row>
    <row r="427" customFormat="false" ht="15" hidden="false" customHeight="false" outlineLevel="0" collapsed="false">
      <c r="E427" s="20"/>
      <c r="F427" s="20"/>
      <c r="H427" s="20"/>
      <c r="I427" s="20"/>
      <c r="J427" s="20"/>
    </row>
    <row r="428" customFormat="false" ht="15" hidden="false" customHeight="false" outlineLevel="0" collapsed="false">
      <c r="E428" s="20"/>
      <c r="F428" s="20"/>
      <c r="H428" s="20"/>
      <c r="I428" s="20"/>
      <c r="J428" s="20"/>
    </row>
    <row r="429" customFormat="false" ht="15" hidden="false" customHeight="false" outlineLevel="0" collapsed="false">
      <c r="E429" s="20"/>
      <c r="F429" s="20"/>
      <c r="H429" s="20"/>
      <c r="I429" s="20"/>
      <c r="J429" s="20"/>
    </row>
    <row r="430" customFormat="false" ht="15" hidden="false" customHeight="false" outlineLevel="0" collapsed="false">
      <c r="E430" s="20"/>
      <c r="F430" s="20"/>
      <c r="H430" s="20"/>
      <c r="I430" s="20"/>
      <c r="J430" s="20"/>
    </row>
    <row r="431" customFormat="false" ht="15" hidden="false" customHeight="false" outlineLevel="0" collapsed="false">
      <c r="E431" s="20"/>
      <c r="F431" s="20"/>
      <c r="H431" s="20"/>
      <c r="I431" s="20"/>
      <c r="J431" s="20"/>
    </row>
    <row r="432" customFormat="false" ht="15" hidden="false" customHeight="false" outlineLevel="0" collapsed="false">
      <c r="E432" s="20"/>
      <c r="F432" s="20"/>
      <c r="H432" s="20"/>
      <c r="I432" s="20"/>
      <c r="J432" s="20"/>
    </row>
    <row r="433" customFormat="false" ht="15" hidden="false" customHeight="false" outlineLevel="0" collapsed="false">
      <c r="E433" s="20"/>
      <c r="F433" s="20"/>
      <c r="H433" s="20"/>
      <c r="I433" s="20"/>
      <c r="J433" s="20"/>
    </row>
    <row r="434" customFormat="false" ht="15" hidden="false" customHeight="false" outlineLevel="0" collapsed="false">
      <c r="E434" s="20"/>
      <c r="F434" s="20"/>
      <c r="H434" s="20"/>
      <c r="I434" s="20"/>
      <c r="J434" s="20"/>
    </row>
    <row r="435" customFormat="false" ht="15" hidden="false" customHeight="false" outlineLevel="0" collapsed="false">
      <c r="E435" s="20"/>
      <c r="F435" s="20"/>
      <c r="H435" s="20"/>
      <c r="I435" s="20"/>
      <c r="J435" s="20"/>
    </row>
    <row r="436" customFormat="false" ht="15" hidden="false" customHeight="false" outlineLevel="0" collapsed="false">
      <c r="E436" s="20"/>
      <c r="F436" s="20"/>
      <c r="H436" s="20"/>
      <c r="I436" s="20"/>
      <c r="J436" s="20"/>
    </row>
    <row r="437" customFormat="false" ht="15" hidden="false" customHeight="false" outlineLevel="0" collapsed="false">
      <c r="E437" s="20"/>
      <c r="F437" s="20"/>
      <c r="H437" s="20"/>
      <c r="I437" s="20"/>
      <c r="J437" s="20"/>
    </row>
    <row r="438" customFormat="false" ht="15" hidden="false" customHeight="false" outlineLevel="0" collapsed="false">
      <c r="E438" s="20"/>
      <c r="F438" s="20"/>
      <c r="H438" s="20"/>
      <c r="I438" s="20"/>
      <c r="J438" s="20"/>
    </row>
    <row r="439" customFormat="false" ht="15" hidden="false" customHeight="false" outlineLevel="0" collapsed="false">
      <c r="E439" s="20"/>
      <c r="F439" s="20"/>
      <c r="H439" s="20"/>
      <c r="I439" s="20"/>
      <c r="J439" s="20"/>
    </row>
    <row r="440" customFormat="false" ht="15" hidden="false" customHeight="false" outlineLevel="0" collapsed="false">
      <c r="E440" s="20"/>
      <c r="F440" s="20"/>
      <c r="H440" s="20"/>
      <c r="I440" s="20"/>
      <c r="J440" s="20"/>
    </row>
    <row r="441" customFormat="false" ht="15" hidden="false" customHeight="false" outlineLevel="0" collapsed="false">
      <c r="E441" s="20"/>
      <c r="F441" s="20"/>
      <c r="H441" s="20"/>
      <c r="I441" s="20"/>
      <c r="J441" s="20"/>
    </row>
    <row r="442" customFormat="false" ht="15" hidden="false" customHeight="false" outlineLevel="0" collapsed="false">
      <c r="E442" s="20"/>
      <c r="F442" s="20"/>
      <c r="H442" s="20"/>
      <c r="I442" s="20"/>
      <c r="J442" s="20"/>
    </row>
    <row r="443" customFormat="false" ht="15" hidden="false" customHeight="false" outlineLevel="0" collapsed="false">
      <c r="E443" s="20"/>
      <c r="F443" s="20"/>
      <c r="H443" s="20"/>
      <c r="I443" s="20"/>
      <c r="J443" s="20"/>
    </row>
    <row r="444" customFormat="false" ht="15" hidden="false" customHeight="false" outlineLevel="0" collapsed="false">
      <c r="E444" s="20"/>
      <c r="F444" s="20"/>
      <c r="H444" s="20"/>
      <c r="I444" s="20"/>
      <c r="J444" s="20"/>
    </row>
    <row r="445" customFormat="false" ht="15" hidden="false" customHeight="false" outlineLevel="0" collapsed="false">
      <c r="E445" s="20"/>
      <c r="F445" s="20"/>
      <c r="H445" s="20"/>
      <c r="I445" s="20"/>
      <c r="J445" s="20"/>
    </row>
    <row r="446" customFormat="false" ht="15" hidden="false" customHeight="false" outlineLevel="0" collapsed="false">
      <c r="E446" s="20"/>
      <c r="F446" s="20"/>
      <c r="H446" s="20"/>
      <c r="I446" s="20"/>
      <c r="J446" s="20"/>
    </row>
    <row r="447" customFormat="false" ht="15" hidden="false" customHeight="false" outlineLevel="0" collapsed="false">
      <c r="E447" s="20"/>
      <c r="F447" s="20"/>
      <c r="H447" s="20"/>
      <c r="I447" s="20"/>
      <c r="J447" s="20"/>
    </row>
    <row r="448" customFormat="false" ht="15" hidden="false" customHeight="false" outlineLevel="0" collapsed="false">
      <c r="E448" s="20"/>
      <c r="F448" s="20"/>
      <c r="H448" s="20"/>
      <c r="I448" s="20"/>
      <c r="J448" s="20"/>
    </row>
    <row r="449" customFormat="false" ht="15" hidden="false" customHeight="false" outlineLevel="0" collapsed="false">
      <c r="E449" s="20"/>
      <c r="F449" s="20"/>
      <c r="H449" s="20"/>
      <c r="I449" s="20"/>
      <c r="J449" s="20"/>
    </row>
    <row r="450" customFormat="false" ht="15" hidden="false" customHeight="false" outlineLevel="0" collapsed="false">
      <c r="E450" s="20"/>
      <c r="F450" s="20"/>
      <c r="H450" s="20"/>
      <c r="I450" s="20"/>
      <c r="J450" s="20"/>
    </row>
    <row r="451" customFormat="false" ht="15" hidden="false" customHeight="false" outlineLevel="0" collapsed="false">
      <c r="E451" s="20"/>
      <c r="F451" s="20"/>
      <c r="H451" s="20"/>
      <c r="I451" s="20"/>
      <c r="J451" s="20"/>
    </row>
    <row r="452" customFormat="false" ht="15" hidden="false" customHeight="false" outlineLevel="0" collapsed="false">
      <c r="E452" s="20"/>
      <c r="F452" s="20"/>
      <c r="H452" s="20"/>
      <c r="I452" s="20"/>
      <c r="J452" s="20"/>
    </row>
    <row r="453" customFormat="false" ht="15" hidden="false" customHeight="false" outlineLevel="0" collapsed="false">
      <c r="E453" s="20"/>
      <c r="F453" s="20"/>
      <c r="H453" s="20"/>
      <c r="I453" s="20"/>
      <c r="J453" s="20"/>
    </row>
    <row r="454" customFormat="false" ht="15" hidden="false" customHeight="false" outlineLevel="0" collapsed="false">
      <c r="E454" s="20"/>
      <c r="F454" s="20"/>
      <c r="H454" s="20"/>
      <c r="I454" s="20"/>
      <c r="J454" s="20"/>
    </row>
    <row r="455" customFormat="false" ht="15" hidden="false" customHeight="false" outlineLevel="0" collapsed="false">
      <c r="E455" s="20"/>
      <c r="F455" s="20"/>
      <c r="H455" s="20"/>
      <c r="I455" s="20"/>
      <c r="J455" s="20"/>
    </row>
    <row r="456" customFormat="false" ht="15" hidden="false" customHeight="false" outlineLevel="0" collapsed="false">
      <c r="E456" s="20"/>
      <c r="F456" s="20"/>
      <c r="H456" s="20"/>
      <c r="I456" s="20"/>
      <c r="J456" s="20"/>
    </row>
    <row r="457" customFormat="false" ht="15" hidden="false" customHeight="false" outlineLevel="0" collapsed="false">
      <c r="E457" s="20"/>
      <c r="F457" s="20"/>
      <c r="H457" s="20"/>
      <c r="I457" s="20"/>
      <c r="J457" s="20"/>
    </row>
    <row r="458" customFormat="false" ht="15" hidden="false" customHeight="false" outlineLevel="0" collapsed="false">
      <c r="E458" s="20"/>
      <c r="F458" s="20"/>
      <c r="H458" s="20"/>
      <c r="I458" s="20"/>
      <c r="J458" s="20"/>
    </row>
    <row r="459" customFormat="false" ht="15" hidden="false" customHeight="false" outlineLevel="0" collapsed="false">
      <c r="E459" s="20"/>
      <c r="F459" s="20"/>
      <c r="H459" s="20"/>
      <c r="I459" s="20"/>
      <c r="J459" s="20"/>
    </row>
    <row r="460" customFormat="false" ht="15" hidden="false" customHeight="false" outlineLevel="0" collapsed="false">
      <c r="E460" s="20"/>
      <c r="F460" s="20"/>
      <c r="H460" s="20"/>
      <c r="I460" s="20"/>
      <c r="J460" s="20"/>
    </row>
    <row r="461" customFormat="false" ht="15" hidden="false" customHeight="false" outlineLevel="0" collapsed="false">
      <c r="E461" s="20"/>
      <c r="F461" s="20"/>
      <c r="H461" s="20"/>
      <c r="I461" s="20"/>
      <c r="J461" s="20"/>
    </row>
    <row r="462" customFormat="false" ht="15" hidden="false" customHeight="false" outlineLevel="0" collapsed="false">
      <c r="E462" s="20"/>
      <c r="F462" s="20"/>
      <c r="H462" s="20"/>
      <c r="I462" s="20"/>
      <c r="J462" s="20"/>
    </row>
    <row r="463" customFormat="false" ht="15" hidden="false" customHeight="false" outlineLevel="0" collapsed="false">
      <c r="E463" s="20"/>
      <c r="F463" s="20"/>
      <c r="H463" s="20"/>
      <c r="I463" s="20"/>
      <c r="J463" s="20"/>
    </row>
    <row r="464" customFormat="false" ht="15" hidden="false" customHeight="false" outlineLevel="0" collapsed="false">
      <c r="E464" s="20"/>
      <c r="F464" s="20"/>
      <c r="H464" s="20"/>
      <c r="I464" s="20"/>
      <c r="J464" s="20"/>
    </row>
    <row r="465" customFormat="false" ht="15" hidden="false" customHeight="false" outlineLevel="0" collapsed="false">
      <c r="E465" s="20"/>
      <c r="F465" s="20"/>
      <c r="H465" s="20"/>
      <c r="I465" s="20"/>
      <c r="J465" s="20"/>
    </row>
    <row r="466" customFormat="false" ht="15" hidden="false" customHeight="false" outlineLevel="0" collapsed="false">
      <c r="E466" s="20"/>
      <c r="F466" s="20"/>
      <c r="H466" s="20"/>
      <c r="I466" s="20"/>
      <c r="J466" s="20"/>
    </row>
    <row r="467" customFormat="false" ht="15" hidden="false" customHeight="false" outlineLevel="0" collapsed="false">
      <c r="E467" s="20"/>
      <c r="F467" s="20"/>
      <c r="H467" s="20"/>
      <c r="I467" s="20"/>
      <c r="J467" s="20"/>
    </row>
    <row r="468" customFormat="false" ht="15" hidden="false" customHeight="false" outlineLevel="0" collapsed="false">
      <c r="E468" s="20"/>
      <c r="F468" s="20"/>
      <c r="H468" s="20"/>
      <c r="I468" s="20"/>
      <c r="J468" s="20"/>
    </row>
    <row r="469" customFormat="false" ht="15" hidden="false" customHeight="false" outlineLevel="0" collapsed="false">
      <c r="E469" s="20"/>
      <c r="F469" s="20"/>
      <c r="H469" s="20"/>
      <c r="I469" s="20"/>
      <c r="J469" s="20"/>
    </row>
    <row r="470" customFormat="false" ht="15" hidden="false" customHeight="false" outlineLevel="0" collapsed="false">
      <c r="E470" s="20"/>
      <c r="F470" s="20"/>
      <c r="H470" s="20"/>
      <c r="I470" s="20"/>
      <c r="J470" s="20"/>
    </row>
    <row r="471" customFormat="false" ht="15" hidden="false" customHeight="false" outlineLevel="0" collapsed="false">
      <c r="E471" s="20"/>
      <c r="F471" s="20"/>
      <c r="H471" s="20"/>
      <c r="I471" s="20"/>
      <c r="J471" s="20"/>
    </row>
    <row r="472" customFormat="false" ht="15" hidden="false" customHeight="false" outlineLevel="0" collapsed="false">
      <c r="E472" s="20"/>
      <c r="F472" s="20"/>
      <c r="H472" s="20"/>
      <c r="I472" s="20"/>
      <c r="J472" s="20"/>
    </row>
    <row r="473" customFormat="false" ht="15" hidden="false" customHeight="false" outlineLevel="0" collapsed="false">
      <c r="E473" s="20"/>
      <c r="F473" s="20"/>
      <c r="H473" s="20"/>
      <c r="I473" s="20"/>
      <c r="J473" s="20"/>
    </row>
    <row r="474" customFormat="false" ht="15" hidden="false" customHeight="false" outlineLevel="0" collapsed="false">
      <c r="E474" s="20"/>
      <c r="F474" s="20"/>
      <c r="H474" s="20"/>
      <c r="I474" s="20"/>
      <c r="J474" s="20"/>
    </row>
    <row r="475" customFormat="false" ht="15" hidden="false" customHeight="false" outlineLevel="0" collapsed="false">
      <c r="E475" s="20"/>
      <c r="F475" s="20"/>
      <c r="H475" s="20"/>
      <c r="I475" s="20"/>
      <c r="J475" s="20"/>
    </row>
    <row r="476" customFormat="false" ht="15" hidden="false" customHeight="false" outlineLevel="0" collapsed="false">
      <c r="E476" s="20"/>
      <c r="F476" s="20"/>
      <c r="H476" s="20"/>
      <c r="I476" s="20"/>
      <c r="J476" s="20"/>
    </row>
    <row r="477" customFormat="false" ht="15" hidden="false" customHeight="false" outlineLevel="0" collapsed="false">
      <c r="E477" s="20"/>
      <c r="F477" s="20"/>
      <c r="H477" s="20"/>
      <c r="I477" s="20"/>
      <c r="J477" s="20"/>
    </row>
    <row r="478" customFormat="false" ht="15" hidden="false" customHeight="false" outlineLevel="0" collapsed="false">
      <c r="E478" s="20"/>
      <c r="F478" s="20"/>
      <c r="H478" s="20"/>
      <c r="I478" s="20"/>
      <c r="J478" s="20"/>
    </row>
    <row r="479" customFormat="false" ht="15" hidden="false" customHeight="false" outlineLevel="0" collapsed="false">
      <c r="E479" s="20"/>
      <c r="F479" s="20"/>
      <c r="H479" s="20"/>
      <c r="I479" s="20"/>
      <c r="J479" s="20"/>
    </row>
    <row r="480" customFormat="false" ht="15" hidden="false" customHeight="false" outlineLevel="0" collapsed="false">
      <c r="E480" s="20"/>
      <c r="F480" s="20"/>
      <c r="H480" s="20"/>
      <c r="I480" s="20"/>
      <c r="J480" s="20"/>
    </row>
    <row r="481" customFormat="false" ht="15" hidden="false" customHeight="false" outlineLevel="0" collapsed="false">
      <c r="E481" s="20"/>
      <c r="F481" s="20"/>
      <c r="H481" s="20"/>
      <c r="I481" s="20"/>
      <c r="J481" s="20"/>
    </row>
    <row r="482" customFormat="false" ht="15" hidden="false" customHeight="false" outlineLevel="0" collapsed="false">
      <c r="E482" s="20"/>
      <c r="F482" s="20"/>
      <c r="H482" s="20"/>
      <c r="I482" s="20"/>
      <c r="J482" s="20"/>
    </row>
    <row r="483" customFormat="false" ht="15" hidden="false" customHeight="false" outlineLevel="0" collapsed="false">
      <c r="E483" s="20"/>
      <c r="F483" s="20"/>
      <c r="H483" s="20"/>
      <c r="I483" s="20"/>
      <c r="J483" s="20"/>
    </row>
    <row r="484" customFormat="false" ht="15" hidden="false" customHeight="false" outlineLevel="0" collapsed="false">
      <c r="E484" s="20"/>
      <c r="F484" s="20"/>
      <c r="H484" s="20"/>
      <c r="I484" s="20"/>
      <c r="J484" s="20"/>
    </row>
    <row r="485" customFormat="false" ht="15" hidden="false" customHeight="false" outlineLevel="0" collapsed="false">
      <c r="E485" s="20"/>
      <c r="F485" s="20"/>
      <c r="H485" s="20"/>
      <c r="I485" s="20"/>
      <c r="J485" s="20"/>
    </row>
    <row r="486" customFormat="false" ht="15" hidden="false" customHeight="false" outlineLevel="0" collapsed="false">
      <c r="E486" s="20"/>
      <c r="F486" s="20"/>
      <c r="H486" s="20"/>
      <c r="I486" s="20"/>
      <c r="J486" s="20"/>
    </row>
    <row r="487" customFormat="false" ht="15" hidden="false" customHeight="false" outlineLevel="0" collapsed="false">
      <c r="E487" s="20"/>
      <c r="F487" s="20"/>
      <c r="H487" s="20"/>
      <c r="I487" s="20"/>
      <c r="J487" s="20"/>
    </row>
    <row r="488" customFormat="false" ht="15" hidden="false" customHeight="false" outlineLevel="0" collapsed="false">
      <c r="E488" s="20"/>
      <c r="F488" s="20"/>
      <c r="H488" s="20"/>
      <c r="I488" s="20"/>
      <c r="J488" s="20"/>
    </row>
    <row r="489" customFormat="false" ht="15" hidden="false" customHeight="false" outlineLevel="0" collapsed="false">
      <c r="E489" s="20"/>
      <c r="F489" s="20"/>
      <c r="H489" s="20"/>
      <c r="I489" s="20"/>
      <c r="J489" s="20"/>
    </row>
    <row r="490" customFormat="false" ht="15" hidden="false" customHeight="false" outlineLevel="0" collapsed="false">
      <c r="E490" s="20"/>
      <c r="F490" s="20"/>
      <c r="H490" s="20"/>
      <c r="I490" s="20"/>
      <c r="J490" s="20"/>
    </row>
    <row r="491" customFormat="false" ht="15" hidden="false" customHeight="false" outlineLevel="0" collapsed="false">
      <c r="E491" s="20"/>
      <c r="F491" s="20"/>
      <c r="H491" s="20"/>
      <c r="I491" s="20"/>
      <c r="J491" s="20"/>
    </row>
    <row r="492" customFormat="false" ht="15" hidden="false" customHeight="false" outlineLevel="0" collapsed="false">
      <c r="E492" s="20"/>
      <c r="F492" s="20"/>
      <c r="H492" s="20"/>
      <c r="I492" s="20"/>
      <c r="J492" s="20"/>
    </row>
    <row r="493" customFormat="false" ht="15" hidden="false" customHeight="false" outlineLevel="0" collapsed="false">
      <c r="E493" s="20"/>
      <c r="F493" s="20"/>
      <c r="H493" s="20"/>
      <c r="I493" s="20"/>
      <c r="J493" s="20"/>
    </row>
    <row r="494" customFormat="false" ht="15" hidden="false" customHeight="false" outlineLevel="0" collapsed="false">
      <c r="E494" s="20"/>
      <c r="F494" s="20"/>
      <c r="H494" s="20"/>
      <c r="I494" s="20"/>
      <c r="J494" s="20"/>
    </row>
    <row r="495" customFormat="false" ht="15" hidden="false" customHeight="false" outlineLevel="0" collapsed="false">
      <c r="E495" s="20"/>
      <c r="F495" s="20"/>
      <c r="H495" s="20"/>
      <c r="I495" s="20"/>
      <c r="J495" s="20"/>
    </row>
    <row r="496" customFormat="false" ht="15" hidden="false" customHeight="false" outlineLevel="0" collapsed="false">
      <c r="E496" s="20"/>
      <c r="F496" s="20"/>
      <c r="H496" s="20"/>
      <c r="I496" s="20"/>
      <c r="J496" s="20"/>
    </row>
    <row r="497" customFormat="false" ht="15" hidden="false" customHeight="false" outlineLevel="0" collapsed="false">
      <c r="E497" s="20"/>
      <c r="F497" s="20"/>
      <c r="H497" s="20"/>
      <c r="I497" s="20"/>
      <c r="J497" s="20"/>
    </row>
    <row r="498" customFormat="false" ht="15" hidden="false" customHeight="false" outlineLevel="0" collapsed="false">
      <c r="E498" s="20"/>
      <c r="F498" s="20"/>
      <c r="H498" s="20"/>
      <c r="I498" s="20"/>
      <c r="J498" s="20"/>
    </row>
    <row r="499" customFormat="false" ht="15" hidden="false" customHeight="false" outlineLevel="0" collapsed="false">
      <c r="E499" s="20"/>
      <c r="F499" s="20"/>
      <c r="H499" s="20"/>
      <c r="I499" s="20"/>
      <c r="J499" s="20"/>
    </row>
    <row r="500" customFormat="false" ht="15" hidden="false" customHeight="false" outlineLevel="0" collapsed="false">
      <c r="E500" s="20"/>
      <c r="F500" s="20"/>
      <c r="H500" s="20"/>
      <c r="I500" s="20"/>
      <c r="J500" s="20"/>
    </row>
    <row r="501" customFormat="false" ht="15" hidden="false" customHeight="false" outlineLevel="0" collapsed="false">
      <c r="E501" s="20"/>
      <c r="F501" s="20"/>
      <c r="H501" s="20"/>
      <c r="I501" s="20"/>
      <c r="J501" s="20"/>
    </row>
    <row r="502" customFormat="false" ht="15" hidden="false" customHeight="false" outlineLevel="0" collapsed="false">
      <c r="E502" s="20"/>
      <c r="F502" s="20"/>
      <c r="H502" s="20"/>
      <c r="I502" s="20"/>
      <c r="J502" s="20"/>
    </row>
    <row r="503" customFormat="false" ht="15" hidden="false" customHeight="false" outlineLevel="0" collapsed="false">
      <c r="E503" s="20"/>
      <c r="F503" s="20"/>
      <c r="H503" s="20"/>
      <c r="I503" s="20"/>
      <c r="J503" s="20"/>
    </row>
    <row r="504" customFormat="false" ht="15" hidden="false" customHeight="false" outlineLevel="0" collapsed="false">
      <c r="E504" s="20"/>
      <c r="F504" s="20"/>
      <c r="H504" s="20"/>
      <c r="I504" s="20"/>
      <c r="J504" s="20"/>
    </row>
    <row r="505" customFormat="false" ht="15" hidden="false" customHeight="false" outlineLevel="0" collapsed="false">
      <c r="E505" s="20"/>
      <c r="F505" s="20"/>
      <c r="H505" s="20"/>
      <c r="I505" s="20"/>
      <c r="J505" s="20"/>
    </row>
    <row r="506" customFormat="false" ht="15" hidden="false" customHeight="false" outlineLevel="0" collapsed="false">
      <c r="E506" s="20"/>
      <c r="F506" s="20"/>
      <c r="H506" s="20"/>
      <c r="I506" s="20"/>
      <c r="J506" s="20"/>
    </row>
    <row r="507" customFormat="false" ht="15" hidden="false" customHeight="false" outlineLevel="0" collapsed="false">
      <c r="E507" s="20"/>
      <c r="F507" s="20"/>
      <c r="H507" s="20"/>
      <c r="I507" s="20"/>
      <c r="J507" s="20"/>
    </row>
    <row r="508" customFormat="false" ht="15" hidden="false" customHeight="false" outlineLevel="0" collapsed="false">
      <c r="E508" s="20"/>
      <c r="F508" s="20"/>
      <c r="H508" s="20"/>
      <c r="I508" s="20"/>
      <c r="J508" s="20"/>
    </row>
    <row r="509" customFormat="false" ht="15" hidden="false" customHeight="false" outlineLevel="0" collapsed="false">
      <c r="E509" s="20"/>
      <c r="F509" s="20"/>
      <c r="H509" s="20"/>
      <c r="I509" s="20"/>
      <c r="J509" s="20"/>
    </row>
    <row r="510" customFormat="false" ht="15" hidden="false" customHeight="false" outlineLevel="0" collapsed="false">
      <c r="E510" s="20"/>
      <c r="F510" s="20"/>
      <c r="H510" s="20"/>
      <c r="I510" s="20"/>
      <c r="J510" s="20"/>
    </row>
    <row r="511" customFormat="false" ht="15" hidden="false" customHeight="false" outlineLevel="0" collapsed="false">
      <c r="E511" s="20"/>
      <c r="F511" s="20"/>
      <c r="H511" s="20"/>
      <c r="I511" s="20"/>
      <c r="J511" s="20"/>
    </row>
    <row r="512" customFormat="false" ht="15" hidden="false" customHeight="false" outlineLevel="0" collapsed="false">
      <c r="E512" s="20"/>
      <c r="F512" s="20"/>
      <c r="H512" s="20"/>
      <c r="I512" s="20"/>
      <c r="J512" s="20"/>
    </row>
    <row r="513" customFormat="false" ht="15" hidden="false" customHeight="false" outlineLevel="0" collapsed="false">
      <c r="E513" s="20"/>
      <c r="F513" s="20"/>
      <c r="H513" s="20"/>
      <c r="I513" s="20"/>
      <c r="J513" s="20"/>
    </row>
    <row r="514" customFormat="false" ht="15" hidden="false" customHeight="false" outlineLevel="0" collapsed="false">
      <c r="E514" s="20"/>
      <c r="F514" s="20"/>
      <c r="H514" s="20"/>
      <c r="I514" s="20"/>
      <c r="J514" s="20"/>
    </row>
    <row r="515" customFormat="false" ht="15" hidden="false" customHeight="false" outlineLevel="0" collapsed="false">
      <c r="E515" s="20"/>
      <c r="F515" s="20"/>
      <c r="H515" s="20"/>
      <c r="I515" s="20"/>
      <c r="J515" s="20"/>
    </row>
    <row r="516" customFormat="false" ht="15" hidden="false" customHeight="false" outlineLevel="0" collapsed="false">
      <c r="E516" s="20"/>
      <c r="F516" s="20"/>
      <c r="H516" s="20"/>
      <c r="I516" s="20"/>
      <c r="J516" s="20"/>
    </row>
    <row r="517" customFormat="false" ht="15" hidden="false" customHeight="false" outlineLevel="0" collapsed="false">
      <c r="E517" s="20"/>
      <c r="F517" s="20"/>
      <c r="H517" s="20"/>
      <c r="I517" s="20"/>
      <c r="J517" s="20"/>
    </row>
    <row r="518" customFormat="false" ht="15" hidden="false" customHeight="false" outlineLevel="0" collapsed="false">
      <c r="E518" s="20"/>
      <c r="F518" s="20"/>
      <c r="H518" s="20"/>
      <c r="I518" s="20"/>
      <c r="J518" s="20"/>
    </row>
    <row r="519" customFormat="false" ht="15" hidden="false" customHeight="false" outlineLevel="0" collapsed="false">
      <c r="E519" s="20"/>
      <c r="F519" s="20"/>
      <c r="H519" s="20"/>
      <c r="I519" s="20"/>
      <c r="J519" s="20"/>
    </row>
    <row r="520" customFormat="false" ht="15" hidden="false" customHeight="false" outlineLevel="0" collapsed="false">
      <c r="E520" s="20"/>
      <c r="F520" s="20"/>
      <c r="H520" s="20"/>
      <c r="I520" s="20"/>
      <c r="J520" s="20"/>
    </row>
    <row r="521" customFormat="false" ht="15" hidden="false" customHeight="false" outlineLevel="0" collapsed="false">
      <c r="E521" s="20"/>
      <c r="F521" s="20"/>
      <c r="H521" s="20"/>
      <c r="I521" s="20"/>
      <c r="J521" s="20"/>
    </row>
    <row r="522" customFormat="false" ht="15" hidden="false" customHeight="false" outlineLevel="0" collapsed="false">
      <c r="E522" s="20"/>
      <c r="F522" s="20"/>
      <c r="H522" s="20"/>
      <c r="I522" s="20"/>
      <c r="J522" s="20"/>
    </row>
    <row r="523" customFormat="false" ht="15" hidden="false" customHeight="false" outlineLevel="0" collapsed="false">
      <c r="E523" s="20"/>
      <c r="F523" s="20"/>
      <c r="H523" s="20"/>
      <c r="I523" s="20"/>
      <c r="J523" s="20"/>
    </row>
    <row r="524" customFormat="false" ht="15" hidden="false" customHeight="false" outlineLevel="0" collapsed="false">
      <c r="E524" s="20"/>
      <c r="F524" s="20"/>
      <c r="H524" s="20"/>
      <c r="I524" s="20"/>
      <c r="J524" s="20"/>
    </row>
    <row r="525" customFormat="false" ht="15" hidden="false" customHeight="false" outlineLevel="0" collapsed="false">
      <c r="E525" s="20"/>
      <c r="F525" s="20"/>
      <c r="H525" s="20"/>
      <c r="I525" s="20"/>
      <c r="J525" s="20"/>
    </row>
    <row r="526" customFormat="false" ht="15" hidden="false" customHeight="false" outlineLevel="0" collapsed="false">
      <c r="E526" s="20"/>
      <c r="F526" s="20"/>
      <c r="H526" s="20"/>
      <c r="I526" s="20"/>
      <c r="J526" s="20"/>
    </row>
    <row r="527" customFormat="false" ht="15" hidden="false" customHeight="false" outlineLevel="0" collapsed="false">
      <c r="E527" s="20"/>
      <c r="F527" s="20"/>
      <c r="H527" s="20"/>
      <c r="I527" s="20"/>
      <c r="J527" s="20"/>
    </row>
    <row r="528" customFormat="false" ht="15" hidden="false" customHeight="false" outlineLevel="0" collapsed="false">
      <c r="E528" s="20"/>
      <c r="F528" s="20"/>
      <c r="H528" s="20"/>
      <c r="I528" s="20"/>
      <c r="J528" s="20"/>
    </row>
    <row r="529" customFormat="false" ht="15" hidden="false" customHeight="false" outlineLevel="0" collapsed="false">
      <c r="E529" s="20"/>
      <c r="F529" s="20"/>
      <c r="H529" s="20"/>
      <c r="I529" s="20"/>
      <c r="J529" s="20"/>
    </row>
    <row r="530" customFormat="false" ht="15" hidden="false" customHeight="false" outlineLevel="0" collapsed="false">
      <c r="E530" s="20"/>
      <c r="F530" s="20"/>
      <c r="H530" s="20"/>
      <c r="I530" s="20"/>
      <c r="J530" s="20"/>
    </row>
    <row r="531" customFormat="false" ht="15" hidden="false" customHeight="false" outlineLevel="0" collapsed="false">
      <c r="E531" s="20"/>
      <c r="F531" s="20"/>
      <c r="H531" s="20"/>
      <c r="I531" s="20"/>
      <c r="J531" s="20"/>
    </row>
    <row r="532" customFormat="false" ht="15" hidden="false" customHeight="false" outlineLevel="0" collapsed="false">
      <c r="E532" s="20"/>
      <c r="F532" s="20"/>
      <c r="H532" s="20"/>
      <c r="I532" s="20"/>
      <c r="J532" s="20"/>
    </row>
    <row r="533" customFormat="false" ht="15" hidden="false" customHeight="false" outlineLevel="0" collapsed="false">
      <c r="E533" s="20"/>
      <c r="F533" s="20"/>
      <c r="H533" s="20"/>
      <c r="I533" s="20"/>
      <c r="J533" s="20"/>
    </row>
    <row r="534" customFormat="false" ht="15" hidden="false" customHeight="false" outlineLevel="0" collapsed="false">
      <c r="E534" s="20"/>
      <c r="F534" s="20"/>
      <c r="H534" s="20"/>
      <c r="I534" s="20"/>
      <c r="J534" s="20"/>
    </row>
    <row r="535" customFormat="false" ht="15" hidden="false" customHeight="false" outlineLevel="0" collapsed="false">
      <c r="E535" s="20"/>
      <c r="F535" s="20"/>
      <c r="H535" s="20"/>
      <c r="I535" s="20"/>
      <c r="J535" s="20"/>
    </row>
    <row r="536" customFormat="false" ht="15" hidden="false" customHeight="false" outlineLevel="0" collapsed="false">
      <c r="E536" s="20"/>
      <c r="F536" s="20"/>
      <c r="H536" s="20"/>
      <c r="I536" s="20"/>
      <c r="J536" s="20"/>
    </row>
    <row r="537" customFormat="false" ht="15" hidden="false" customHeight="false" outlineLevel="0" collapsed="false">
      <c r="E537" s="20"/>
      <c r="F537" s="20"/>
      <c r="H537" s="20"/>
      <c r="I537" s="20"/>
      <c r="J537" s="20"/>
    </row>
    <row r="538" customFormat="false" ht="15" hidden="false" customHeight="false" outlineLevel="0" collapsed="false">
      <c r="E538" s="20"/>
      <c r="F538" s="20"/>
      <c r="H538" s="20"/>
      <c r="I538" s="20"/>
      <c r="J538" s="20"/>
    </row>
    <row r="539" customFormat="false" ht="15" hidden="false" customHeight="false" outlineLevel="0" collapsed="false">
      <c r="E539" s="20"/>
      <c r="F539" s="20"/>
      <c r="H539" s="20"/>
      <c r="I539" s="20"/>
      <c r="J539" s="20"/>
    </row>
    <row r="540" customFormat="false" ht="15" hidden="false" customHeight="false" outlineLevel="0" collapsed="false">
      <c r="E540" s="20"/>
      <c r="F540" s="20"/>
      <c r="H540" s="20"/>
      <c r="I540" s="20"/>
      <c r="J540" s="20"/>
    </row>
    <row r="541" customFormat="false" ht="15" hidden="false" customHeight="false" outlineLevel="0" collapsed="false">
      <c r="E541" s="20"/>
      <c r="F541" s="20"/>
      <c r="H541" s="20"/>
      <c r="I541" s="20"/>
      <c r="J541" s="20"/>
    </row>
    <row r="542" customFormat="false" ht="15" hidden="false" customHeight="false" outlineLevel="0" collapsed="false">
      <c r="E542" s="20"/>
      <c r="F542" s="20"/>
      <c r="H542" s="20"/>
      <c r="I542" s="20"/>
      <c r="J542" s="20"/>
    </row>
    <row r="543" customFormat="false" ht="15" hidden="false" customHeight="false" outlineLevel="0" collapsed="false">
      <c r="E543" s="20"/>
      <c r="F543" s="20"/>
      <c r="H543" s="20"/>
      <c r="I543" s="20"/>
      <c r="J543" s="20"/>
    </row>
    <row r="544" customFormat="false" ht="15" hidden="false" customHeight="false" outlineLevel="0" collapsed="false">
      <c r="E544" s="20"/>
      <c r="F544" s="20"/>
      <c r="H544" s="20"/>
      <c r="I544" s="20"/>
      <c r="J544" s="20"/>
    </row>
    <row r="545" customFormat="false" ht="15" hidden="false" customHeight="false" outlineLevel="0" collapsed="false">
      <c r="E545" s="20"/>
      <c r="F545" s="20"/>
      <c r="H545" s="20"/>
      <c r="I545" s="20"/>
      <c r="J545" s="20"/>
    </row>
    <row r="546" customFormat="false" ht="15" hidden="false" customHeight="false" outlineLevel="0" collapsed="false">
      <c r="E546" s="20"/>
      <c r="F546" s="20"/>
      <c r="H546" s="20"/>
      <c r="I546" s="20"/>
      <c r="J546" s="20"/>
    </row>
    <row r="547" customFormat="false" ht="15" hidden="false" customHeight="false" outlineLevel="0" collapsed="false">
      <c r="E547" s="20"/>
      <c r="F547" s="20"/>
      <c r="H547" s="20"/>
      <c r="I547" s="20"/>
      <c r="J547" s="20"/>
    </row>
    <row r="548" customFormat="false" ht="15" hidden="false" customHeight="false" outlineLevel="0" collapsed="false">
      <c r="E548" s="20"/>
      <c r="F548" s="20"/>
      <c r="H548" s="20"/>
      <c r="I548" s="20"/>
      <c r="J548" s="20"/>
    </row>
    <row r="549" customFormat="false" ht="15" hidden="false" customHeight="false" outlineLevel="0" collapsed="false">
      <c r="E549" s="20"/>
      <c r="F549" s="20"/>
      <c r="H549" s="20"/>
      <c r="I549" s="20"/>
      <c r="J549" s="20"/>
    </row>
    <row r="550" customFormat="false" ht="15" hidden="false" customHeight="false" outlineLevel="0" collapsed="false">
      <c r="E550" s="20"/>
      <c r="F550" s="20"/>
      <c r="H550" s="20"/>
      <c r="I550" s="20"/>
      <c r="J550" s="20"/>
    </row>
    <row r="551" customFormat="false" ht="15" hidden="false" customHeight="false" outlineLevel="0" collapsed="false">
      <c r="E551" s="20"/>
      <c r="F551" s="20"/>
      <c r="H551" s="20"/>
      <c r="I551" s="20"/>
      <c r="J551" s="20"/>
    </row>
    <row r="552" customFormat="false" ht="15" hidden="false" customHeight="false" outlineLevel="0" collapsed="false">
      <c r="E552" s="20"/>
      <c r="F552" s="20"/>
      <c r="H552" s="20"/>
      <c r="I552" s="20"/>
      <c r="J552" s="20"/>
    </row>
    <row r="553" customFormat="false" ht="15" hidden="false" customHeight="false" outlineLevel="0" collapsed="false">
      <c r="E553" s="20"/>
      <c r="F553" s="20"/>
      <c r="H553" s="20"/>
      <c r="I553" s="20"/>
      <c r="J553" s="20"/>
    </row>
    <row r="554" customFormat="false" ht="15" hidden="false" customHeight="false" outlineLevel="0" collapsed="false">
      <c r="E554" s="20"/>
      <c r="F554" s="20"/>
      <c r="H554" s="20"/>
      <c r="I554" s="20"/>
      <c r="J554" s="20"/>
    </row>
    <row r="555" customFormat="false" ht="15" hidden="false" customHeight="false" outlineLevel="0" collapsed="false">
      <c r="E555" s="20"/>
      <c r="F555" s="20"/>
      <c r="H555" s="20"/>
      <c r="I555" s="20"/>
      <c r="J555" s="20"/>
    </row>
    <row r="556" customFormat="false" ht="15" hidden="false" customHeight="false" outlineLevel="0" collapsed="false">
      <c r="E556" s="20"/>
      <c r="F556" s="20"/>
      <c r="H556" s="20"/>
      <c r="I556" s="20"/>
      <c r="J556" s="20"/>
    </row>
    <row r="557" customFormat="false" ht="15" hidden="false" customHeight="false" outlineLevel="0" collapsed="false">
      <c r="E557" s="20"/>
      <c r="F557" s="20"/>
      <c r="H557" s="20"/>
      <c r="I557" s="20"/>
      <c r="J557" s="20"/>
    </row>
    <row r="558" customFormat="false" ht="15" hidden="false" customHeight="false" outlineLevel="0" collapsed="false">
      <c r="E558" s="20"/>
      <c r="F558" s="20"/>
      <c r="H558" s="20"/>
      <c r="I558" s="20"/>
      <c r="J558" s="20"/>
    </row>
    <row r="559" customFormat="false" ht="15" hidden="false" customHeight="false" outlineLevel="0" collapsed="false">
      <c r="E559" s="20"/>
      <c r="F559" s="20"/>
      <c r="H559" s="20"/>
      <c r="I559" s="20"/>
      <c r="J559" s="20"/>
    </row>
    <row r="560" customFormat="false" ht="15" hidden="false" customHeight="false" outlineLevel="0" collapsed="false">
      <c r="E560" s="20"/>
      <c r="F560" s="20"/>
      <c r="H560" s="20"/>
      <c r="I560" s="20"/>
      <c r="J560" s="20"/>
    </row>
    <row r="561" customFormat="false" ht="15" hidden="false" customHeight="false" outlineLevel="0" collapsed="false">
      <c r="E561" s="20"/>
      <c r="F561" s="20"/>
      <c r="H561" s="20"/>
      <c r="I561" s="20"/>
      <c r="J561" s="20"/>
    </row>
    <row r="562" customFormat="false" ht="15" hidden="false" customHeight="false" outlineLevel="0" collapsed="false">
      <c r="E562" s="20"/>
      <c r="F562" s="20"/>
      <c r="H562" s="20"/>
      <c r="I562" s="20"/>
      <c r="J562" s="20"/>
    </row>
    <row r="563" customFormat="false" ht="15" hidden="false" customHeight="false" outlineLevel="0" collapsed="false">
      <c r="E563" s="20"/>
      <c r="F563" s="20"/>
      <c r="H563" s="20"/>
      <c r="I563" s="20"/>
      <c r="J563" s="20"/>
    </row>
    <row r="564" customFormat="false" ht="15" hidden="false" customHeight="false" outlineLevel="0" collapsed="false">
      <c r="E564" s="20"/>
      <c r="F564" s="20"/>
      <c r="H564" s="20"/>
      <c r="I564" s="20"/>
      <c r="J564" s="20"/>
    </row>
    <row r="565" customFormat="false" ht="15" hidden="false" customHeight="false" outlineLevel="0" collapsed="false">
      <c r="E565" s="20"/>
      <c r="F565" s="20"/>
      <c r="H565" s="20"/>
      <c r="I565" s="20"/>
      <c r="J565" s="20"/>
    </row>
    <row r="566" customFormat="false" ht="15" hidden="false" customHeight="false" outlineLevel="0" collapsed="false">
      <c r="E566" s="20"/>
      <c r="F566" s="20"/>
      <c r="H566" s="20"/>
      <c r="I566" s="20"/>
      <c r="J566" s="20"/>
    </row>
    <row r="567" customFormat="false" ht="15" hidden="false" customHeight="false" outlineLevel="0" collapsed="false">
      <c r="E567" s="20"/>
      <c r="F567" s="20"/>
      <c r="H567" s="20"/>
      <c r="I567" s="20"/>
      <c r="J567" s="20"/>
    </row>
    <row r="568" customFormat="false" ht="15" hidden="false" customHeight="false" outlineLevel="0" collapsed="false">
      <c r="E568" s="20"/>
      <c r="F568" s="20"/>
      <c r="H568" s="20"/>
      <c r="I568" s="20"/>
      <c r="J568" s="20"/>
    </row>
    <row r="569" customFormat="false" ht="15" hidden="false" customHeight="false" outlineLevel="0" collapsed="false">
      <c r="E569" s="20"/>
      <c r="F569" s="20"/>
      <c r="H569" s="20"/>
      <c r="I569" s="20"/>
      <c r="J569" s="20"/>
    </row>
    <row r="570" customFormat="false" ht="15" hidden="false" customHeight="false" outlineLevel="0" collapsed="false">
      <c r="E570" s="20"/>
      <c r="F570" s="20"/>
      <c r="H570" s="20"/>
      <c r="I570" s="20"/>
      <c r="J570" s="20"/>
    </row>
    <row r="571" customFormat="false" ht="15" hidden="false" customHeight="false" outlineLevel="0" collapsed="false">
      <c r="E571" s="20"/>
      <c r="F571" s="20"/>
      <c r="H571" s="20"/>
      <c r="I571" s="20"/>
      <c r="J571" s="20"/>
    </row>
    <row r="572" customFormat="false" ht="15" hidden="false" customHeight="false" outlineLevel="0" collapsed="false">
      <c r="E572" s="20"/>
      <c r="F572" s="20"/>
      <c r="H572" s="20"/>
      <c r="I572" s="20"/>
      <c r="J572" s="20"/>
    </row>
    <row r="573" customFormat="false" ht="15" hidden="false" customHeight="false" outlineLevel="0" collapsed="false">
      <c r="E573" s="20"/>
      <c r="F573" s="20"/>
      <c r="H573" s="20"/>
      <c r="I573" s="20"/>
      <c r="J573" s="20"/>
    </row>
    <row r="574" customFormat="false" ht="15" hidden="false" customHeight="false" outlineLevel="0" collapsed="false">
      <c r="E574" s="20"/>
      <c r="F574" s="20"/>
      <c r="H574" s="20"/>
      <c r="I574" s="20"/>
      <c r="J574" s="20"/>
    </row>
    <row r="575" customFormat="false" ht="15" hidden="false" customHeight="false" outlineLevel="0" collapsed="false">
      <c r="E575" s="20"/>
      <c r="F575" s="20"/>
      <c r="H575" s="20"/>
      <c r="I575" s="20"/>
      <c r="J575" s="20"/>
    </row>
    <row r="576" customFormat="false" ht="15" hidden="false" customHeight="false" outlineLevel="0" collapsed="false">
      <c r="E576" s="20"/>
      <c r="F576" s="20"/>
      <c r="H576" s="20"/>
      <c r="I576" s="20"/>
      <c r="J576" s="20"/>
    </row>
    <row r="577" customFormat="false" ht="15" hidden="false" customHeight="false" outlineLevel="0" collapsed="false">
      <c r="E577" s="20"/>
      <c r="F577" s="20"/>
      <c r="H577" s="20"/>
      <c r="I577" s="20"/>
      <c r="J577" s="20"/>
    </row>
    <row r="578" customFormat="false" ht="15" hidden="false" customHeight="false" outlineLevel="0" collapsed="false">
      <c r="E578" s="20"/>
      <c r="F578" s="20"/>
      <c r="H578" s="20"/>
      <c r="I578" s="20"/>
      <c r="J578" s="20"/>
    </row>
    <row r="579" customFormat="false" ht="15" hidden="false" customHeight="false" outlineLevel="0" collapsed="false">
      <c r="E579" s="20"/>
      <c r="F579" s="20"/>
      <c r="H579" s="20"/>
      <c r="I579" s="20"/>
      <c r="J579" s="20"/>
    </row>
    <row r="580" customFormat="false" ht="15" hidden="false" customHeight="false" outlineLevel="0" collapsed="false">
      <c r="E580" s="20"/>
      <c r="F580" s="20"/>
      <c r="H580" s="20"/>
      <c r="I580" s="20"/>
      <c r="J580" s="20"/>
    </row>
    <row r="581" customFormat="false" ht="15" hidden="false" customHeight="false" outlineLevel="0" collapsed="false">
      <c r="E581" s="20"/>
      <c r="F581" s="20"/>
      <c r="H581" s="20"/>
      <c r="I581" s="20"/>
      <c r="J581" s="20"/>
    </row>
    <row r="582" customFormat="false" ht="15" hidden="false" customHeight="false" outlineLevel="0" collapsed="false">
      <c r="E582" s="20"/>
      <c r="F582" s="20"/>
      <c r="H582" s="20"/>
      <c r="I582" s="20"/>
      <c r="J582" s="20"/>
    </row>
    <row r="583" customFormat="false" ht="15" hidden="false" customHeight="false" outlineLevel="0" collapsed="false">
      <c r="E583" s="20"/>
      <c r="F583" s="20"/>
      <c r="H583" s="20"/>
      <c r="I583" s="20"/>
      <c r="J583" s="20"/>
    </row>
    <row r="584" customFormat="false" ht="15" hidden="false" customHeight="false" outlineLevel="0" collapsed="false">
      <c r="E584" s="20"/>
      <c r="F584" s="20"/>
      <c r="H584" s="20"/>
      <c r="I584" s="20"/>
      <c r="J584" s="20"/>
    </row>
    <row r="585" customFormat="false" ht="15" hidden="false" customHeight="false" outlineLevel="0" collapsed="false">
      <c r="E585" s="20"/>
      <c r="F585" s="20"/>
      <c r="H585" s="20"/>
      <c r="I585" s="20"/>
      <c r="J585" s="20"/>
    </row>
    <row r="586" customFormat="false" ht="15" hidden="false" customHeight="false" outlineLevel="0" collapsed="false">
      <c r="E586" s="20"/>
      <c r="F586" s="20"/>
      <c r="H586" s="20"/>
      <c r="I586" s="20"/>
      <c r="J586" s="20"/>
    </row>
    <row r="587" customFormat="false" ht="15" hidden="false" customHeight="false" outlineLevel="0" collapsed="false">
      <c r="E587" s="20"/>
      <c r="F587" s="20"/>
      <c r="H587" s="20"/>
      <c r="I587" s="20"/>
      <c r="J587" s="20"/>
    </row>
    <row r="588" customFormat="false" ht="15" hidden="false" customHeight="false" outlineLevel="0" collapsed="false">
      <c r="E588" s="20"/>
      <c r="F588" s="20"/>
      <c r="H588" s="20"/>
      <c r="I588" s="20"/>
      <c r="J588" s="20"/>
    </row>
    <row r="589" customFormat="false" ht="15" hidden="false" customHeight="false" outlineLevel="0" collapsed="false">
      <c r="E589" s="20"/>
      <c r="F589" s="20"/>
      <c r="H589" s="20"/>
      <c r="I589" s="20"/>
      <c r="J589" s="20"/>
    </row>
    <row r="590" customFormat="false" ht="15" hidden="false" customHeight="false" outlineLevel="0" collapsed="false">
      <c r="E590" s="20"/>
      <c r="F590" s="20"/>
      <c r="H590" s="20"/>
      <c r="I590" s="20"/>
      <c r="J590" s="20"/>
    </row>
    <row r="591" customFormat="false" ht="15" hidden="false" customHeight="false" outlineLevel="0" collapsed="false">
      <c r="E591" s="20"/>
      <c r="F591" s="20"/>
      <c r="H591" s="20"/>
      <c r="I591" s="20"/>
      <c r="J591" s="20"/>
    </row>
    <row r="592" customFormat="false" ht="15" hidden="false" customHeight="false" outlineLevel="0" collapsed="false">
      <c r="E592" s="20"/>
      <c r="F592" s="20"/>
      <c r="H592" s="20"/>
      <c r="I592" s="20"/>
      <c r="J592" s="20"/>
    </row>
    <row r="593" customFormat="false" ht="15" hidden="false" customHeight="false" outlineLevel="0" collapsed="false">
      <c r="E593" s="20"/>
      <c r="F593" s="20"/>
      <c r="H593" s="20"/>
      <c r="I593" s="20"/>
      <c r="J593" s="20"/>
    </row>
    <row r="594" customFormat="false" ht="15" hidden="false" customHeight="false" outlineLevel="0" collapsed="false">
      <c r="E594" s="20"/>
      <c r="F594" s="20"/>
      <c r="H594" s="20"/>
      <c r="I594" s="20"/>
      <c r="J594" s="20"/>
    </row>
    <row r="595" customFormat="false" ht="15" hidden="false" customHeight="false" outlineLevel="0" collapsed="false">
      <c r="E595" s="20"/>
      <c r="F595" s="20"/>
      <c r="H595" s="20"/>
      <c r="I595" s="20"/>
      <c r="J595" s="20"/>
    </row>
    <row r="596" customFormat="false" ht="15" hidden="false" customHeight="false" outlineLevel="0" collapsed="false">
      <c r="E596" s="20"/>
      <c r="F596" s="20"/>
      <c r="H596" s="20"/>
      <c r="I596" s="20"/>
      <c r="J596" s="20"/>
    </row>
    <row r="597" customFormat="false" ht="15" hidden="false" customHeight="false" outlineLevel="0" collapsed="false">
      <c r="E597" s="20"/>
      <c r="F597" s="20"/>
      <c r="H597" s="20"/>
      <c r="I597" s="20"/>
      <c r="J597" s="20"/>
    </row>
    <row r="598" customFormat="false" ht="15" hidden="false" customHeight="false" outlineLevel="0" collapsed="false">
      <c r="E598" s="20"/>
      <c r="F598" s="20"/>
      <c r="H598" s="20"/>
      <c r="I598" s="20"/>
      <c r="J598" s="20"/>
    </row>
    <row r="599" customFormat="false" ht="15" hidden="false" customHeight="false" outlineLevel="0" collapsed="false">
      <c r="E599" s="20"/>
      <c r="F599" s="20"/>
      <c r="H599" s="20"/>
      <c r="I599" s="20"/>
      <c r="J599" s="20"/>
    </row>
    <row r="600" customFormat="false" ht="15" hidden="false" customHeight="false" outlineLevel="0" collapsed="false">
      <c r="E600" s="20"/>
      <c r="F600" s="20"/>
      <c r="H600" s="20"/>
      <c r="I600" s="20"/>
      <c r="J600" s="20"/>
    </row>
    <row r="601" customFormat="false" ht="15" hidden="false" customHeight="false" outlineLevel="0" collapsed="false">
      <c r="E601" s="20"/>
      <c r="F601" s="20"/>
      <c r="H601" s="20"/>
      <c r="I601" s="20"/>
      <c r="J601" s="20"/>
    </row>
    <row r="602" customFormat="false" ht="15" hidden="false" customHeight="false" outlineLevel="0" collapsed="false">
      <c r="E602" s="20"/>
      <c r="F602" s="20"/>
      <c r="H602" s="20"/>
      <c r="I602" s="20"/>
      <c r="J602" s="20"/>
    </row>
    <row r="603" customFormat="false" ht="15" hidden="false" customHeight="false" outlineLevel="0" collapsed="false">
      <c r="E603" s="20"/>
      <c r="F603" s="20"/>
      <c r="H603" s="20"/>
      <c r="I603" s="20"/>
      <c r="J603" s="20"/>
    </row>
    <row r="604" customFormat="false" ht="15" hidden="false" customHeight="false" outlineLevel="0" collapsed="false">
      <c r="E604" s="20"/>
      <c r="F604" s="20"/>
      <c r="H604" s="20"/>
      <c r="I604" s="20"/>
      <c r="J604" s="20"/>
    </row>
    <row r="605" customFormat="false" ht="15" hidden="false" customHeight="false" outlineLevel="0" collapsed="false">
      <c r="E605" s="20"/>
      <c r="F605" s="20"/>
      <c r="H605" s="20"/>
      <c r="I605" s="20"/>
      <c r="J605" s="20"/>
    </row>
    <row r="606" customFormat="false" ht="15" hidden="false" customHeight="false" outlineLevel="0" collapsed="false">
      <c r="E606" s="20"/>
      <c r="F606" s="20"/>
      <c r="H606" s="20"/>
      <c r="I606" s="20"/>
      <c r="J606" s="20"/>
    </row>
    <row r="607" customFormat="false" ht="15" hidden="false" customHeight="false" outlineLevel="0" collapsed="false">
      <c r="E607" s="20"/>
      <c r="F607" s="20"/>
      <c r="H607" s="20"/>
      <c r="I607" s="20"/>
      <c r="J607" s="20"/>
    </row>
    <row r="608" customFormat="false" ht="15" hidden="false" customHeight="false" outlineLevel="0" collapsed="false">
      <c r="E608" s="20"/>
      <c r="F608" s="20"/>
      <c r="H608" s="20"/>
      <c r="I608" s="20"/>
      <c r="J608" s="20"/>
    </row>
    <row r="609" customFormat="false" ht="15" hidden="false" customHeight="false" outlineLevel="0" collapsed="false">
      <c r="E609" s="20"/>
      <c r="F609" s="20"/>
      <c r="H609" s="20"/>
      <c r="I609" s="20"/>
      <c r="J609" s="20"/>
    </row>
    <row r="610" customFormat="false" ht="15" hidden="false" customHeight="false" outlineLevel="0" collapsed="false">
      <c r="E610" s="20"/>
      <c r="F610" s="20"/>
      <c r="H610" s="20"/>
      <c r="I610" s="20"/>
      <c r="J610" s="20"/>
    </row>
    <row r="611" customFormat="false" ht="15" hidden="false" customHeight="false" outlineLevel="0" collapsed="false">
      <c r="E611" s="20"/>
      <c r="F611" s="20"/>
      <c r="H611" s="20"/>
      <c r="I611" s="20"/>
      <c r="J611" s="20"/>
    </row>
    <row r="612" customFormat="false" ht="15" hidden="false" customHeight="false" outlineLevel="0" collapsed="false">
      <c r="E612" s="20"/>
      <c r="F612" s="20"/>
      <c r="H612" s="20"/>
      <c r="I612" s="20"/>
      <c r="J612" s="20"/>
    </row>
    <row r="613" customFormat="false" ht="15" hidden="false" customHeight="false" outlineLevel="0" collapsed="false">
      <c r="E613" s="20"/>
      <c r="F613" s="20"/>
      <c r="H613" s="20"/>
      <c r="I613" s="20"/>
      <c r="J613" s="20"/>
    </row>
    <row r="614" customFormat="false" ht="15" hidden="false" customHeight="false" outlineLevel="0" collapsed="false">
      <c r="E614" s="20"/>
      <c r="F614" s="20"/>
      <c r="H614" s="20"/>
      <c r="I614" s="20"/>
      <c r="J614" s="20"/>
    </row>
    <row r="615" customFormat="false" ht="15" hidden="false" customHeight="false" outlineLevel="0" collapsed="false">
      <c r="E615" s="20"/>
      <c r="F615" s="20"/>
      <c r="H615" s="20"/>
      <c r="I615" s="20"/>
      <c r="J615" s="20"/>
    </row>
    <row r="616" customFormat="false" ht="15" hidden="false" customHeight="false" outlineLevel="0" collapsed="false">
      <c r="E616" s="20"/>
      <c r="F616" s="20"/>
      <c r="H616" s="20"/>
      <c r="I616" s="20"/>
      <c r="J616" s="20"/>
    </row>
    <row r="617" customFormat="false" ht="15" hidden="false" customHeight="false" outlineLevel="0" collapsed="false">
      <c r="E617" s="20"/>
      <c r="F617" s="20"/>
      <c r="H617" s="20"/>
      <c r="I617" s="20"/>
      <c r="J617" s="20"/>
    </row>
    <row r="618" customFormat="false" ht="15" hidden="false" customHeight="false" outlineLevel="0" collapsed="false">
      <c r="E618" s="20"/>
      <c r="F618" s="20"/>
      <c r="H618" s="20"/>
      <c r="I618" s="20"/>
      <c r="J618" s="20"/>
    </row>
    <row r="619" customFormat="false" ht="15" hidden="false" customHeight="false" outlineLevel="0" collapsed="false">
      <c r="E619" s="20"/>
      <c r="F619" s="20"/>
      <c r="H619" s="20"/>
      <c r="I619" s="20"/>
      <c r="J619" s="20"/>
    </row>
    <row r="620" customFormat="false" ht="15" hidden="false" customHeight="false" outlineLevel="0" collapsed="false">
      <c r="E620" s="20"/>
      <c r="F620" s="20"/>
      <c r="H620" s="20"/>
      <c r="I620" s="20"/>
      <c r="J620" s="20"/>
    </row>
    <row r="621" customFormat="false" ht="15" hidden="false" customHeight="false" outlineLevel="0" collapsed="false">
      <c r="E621" s="20"/>
      <c r="F621" s="20"/>
      <c r="H621" s="20"/>
      <c r="I621" s="20"/>
      <c r="J621" s="20"/>
    </row>
    <row r="622" customFormat="false" ht="15" hidden="false" customHeight="false" outlineLevel="0" collapsed="false">
      <c r="E622" s="20"/>
      <c r="F622" s="20"/>
      <c r="H622" s="20"/>
      <c r="I622" s="20"/>
      <c r="J622" s="20"/>
    </row>
    <row r="623" customFormat="false" ht="15" hidden="false" customHeight="false" outlineLevel="0" collapsed="false">
      <c r="E623" s="20"/>
      <c r="F623" s="20"/>
      <c r="H623" s="20"/>
      <c r="I623" s="20"/>
      <c r="J623" s="20"/>
    </row>
    <row r="624" customFormat="false" ht="15" hidden="false" customHeight="false" outlineLevel="0" collapsed="false">
      <c r="E624" s="20"/>
      <c r="F624" s="20"/>
      <c r="H624" s="20"/>
      <c r="I624" s="20"/>
      <c r="J624" s="20"/>
    </row>
    <row r="625" customFormat="false" ht="15" hidden="false" customHeight="false" outlineLevel="0" collapsed="false">
      <c r="E625" s="20"/>
      <c r="F625" s="20"/>
      <c r="H625" s="20"/>
      <c r="I625" s="20"/>
      <c r="J625" s="20"/>
    </row>
    <row r="626" customFormat="false" ht="15" hidden="false" customHeight="false" outlineLevel="0" collapsed="false">
      <c r="E626" s="20"/>
      <c r="F626" s="20"/>
      <c r="H626" s="20"/>
      <c r="I626" s="20"/>
      <c r="J626" s="20"/>
    </row>
    <row r="627" customFormat="false" ht="15" hidden="false" customHeight="false" outlineLevel="0" collapsed="false">
      <c r="E627" s="20"/>
      <c r="F627" s="20"/>
      <c r="H627" s="20"/>
      <c r="I627" s="20"/>
      <c r="J627" s="20"/>
    </row>
    <row r="628" customFormat="false" ht="15" hidden="false" customHeight="false" outlineLevel="0" collapsed="false">
      <c r="E628" s="20"/>
      <c r="F628" s="20"/>
      <c r="H628" s="20"/>
      <c r="I628" s="20"/>
      <c r="J628" s="20"/>
    </row>
    <row r="629" customFormat="false" ht="15" hidden="false" customHeight="false" outlineLevel="0" collapsed="false">
      <c r="E629" s="20"/>
      <c r="F629" s="20"/>
      <c r="H629" s="20"/>
      <c r="I629" s="20"/>
      <c r="J629" s="20"/>
    </row>
    <row r="630" customFormat="false" ht="15" hidden="false" customHeight="false" outlineLevel="0" collapsed="false">
      <c r="E630" s="20"/>
      <c r="F630" s="20"/>
      <c r="H630" s="20"/>
      <c r="I630" s="20"/>
      <c r="J630" s="20"/>
    </row>
    <row r="631" customFormat="false" ht="15" hidden="false" customHeight="false" outlineLevel="0" collapsed="false">
      <c r="E631" s="20"/>
      <c r="F631" s="20"/>
      <c r="H631" s="20"/>
      <c r="I631" s="20"/>
      <c r="J631" s="20"/>
    </row>
    <row r="632" customFormat="false" ht="15" hidden="false" customHeight="false" outlineLevel="0" collapsed="false">
      <c r="E632" s="20"/>
      <c r="F632" s="20"/>
      <c r="H632" s="20"/>
      <c r="I632" s="20"/>
      <c r="J632" s="20"/>
    </row>
    <row r="633" customFormat="false" ht="15" hidden="false" customHeight="false" outlineLevel="0" collapsed="false">
      <c r="E633" s="20"/>
      <c r="F633" s="20"/>
      <c r="H633" s="20"/>
      <c r="I633" s="20"/>
      <c r="J633" s="20"/>
    </row>
    <row r="634" customFormat="false" ht="15" hidden="false" customHeight="false" outlineLevel="0" collapsed="false">
      <c r="E634" s="20"/>
      <c r="F634" s="20"/>
      <c r="H634" s="20"/>
      <c r="I634" s="20"/>
      <c r="J634" s="20"/>
    </row>
    <row r="635" customFormat="false" ht="15" hidden="false" customHeight="false" outlineLevel="0" collapsed="false">
      <c r="E635" s="20"/>
      <c r="F635" s="20"/>
      <c r="H635" s="20"/>
      <c r="I635" s="20"/>
      <c r="J635" s="20"/>
    </row>
    <row r="636" customFormat="false" ht="15" hidden="false" customHeight="false" outlineLevel="0" collapsed="false">
      <c r="E636" s="20"/>
      <c r="F636" s="20"/>
      <c r="H636" s="20"/>
      <c r="I636" s="20"/>
      <c r="J636" s="20"/>
    </row>
    <row r="637" customFormat="false" ht="15" hidden="false" customHeight="false" outlineLevel="0" collapsed="false">
      <c r="E637" s="20"/>
      <c r="F637" s="20"/>
      <c r="H637" s="20"/>
      <c r="I637" s="20"/>
      <c r="J637" s="20"/>
    </row>
    <row r="638" customFormat="false" ht="15" hidden="false" customHeight="false" outlineLevel="0" collapsed="false">
      <c r="E638" s="20"/>
      <c r="F638" s="20"/>
      <c r="H638" s="20"/>
      <c r="I638" s="20"/>
      <c r="J638" s="20"/>
    </row>
    <row r="639" customFormat="false" ht="15" hidden="false" customHeight="false" outlineLevel="0" collapsed="false">
      <c r="E639" s="20"/>
      <c r="F639" s="20"/>
      <c r="H639" s="20"/>
      <c r="I639" s="20"/>
      <c r="J639" s="20"/>
    </row>
    <row r="640" customFormat="false" ht="15" hidden="false" customHeight="false" outlineLevel="0" collapsed="false">
      <c r="E640" s="20"/>
      <c r="F640" s="20"/>
      <c r="H640" s="20"/>
      <c r="I640" s="20"/>
      <c r="J640" s="20"/>
    </row>
    <row r="641" customFormat="false" ht="15" hidden="false" customHeight="false" outlineLevel="0" collapsed="false">
      <c r="E641" s="20"/>
      <c r="F641" s="20"/>
      <c r="H641" s="20"/>
      <c r="I641" s="20"/>
      <c r="J641" s="20"/>
    </row>
    <row r="642" customFormat="false" ht="15" hidden="false" customHeight="false" outlineLevel="0" collapsed="false">
      <c r="E642" s="20"/>
      <c r="F642" s="20"/>
      <c r="H642" s="20"/>
      <c r="I642" s="20"/>
      <c r="J642" s="20"/>
    </row>
    <row r="643" customFormat="false" ht="15" hidden="false" customHeight="false" outlineLevel="0" collapsed="false">
      <c r="E643" s="20"/>
      <c r="F643" s="20"/>
      <c r="H643" s="20"/>
      <c r="I643" s="20"/>
      <c r="J643" s="20"/>
    </row>
    <row r="644" customFormat="false" ht="15" hidden="false" customHeight="false" outlineLevel="0" collapsed="false">
      <c r="E644" s="20"/>
      <c r="F644" s="20"/>
      <c r="H644" s="20"/>
      <c r="I644" s="20"/>
      <c r="J644" s="20"/>
    </row>
    <row r="645" customFormat="false" ht="15" hidden="false" customHeight="false" outlineLevel="0" collapsed="false">
      <c r="E645" s="20"/>
      <c r="F645" s="20"/>
      <c r="H645" s="20"/>
      <c r="I645" s="20"/>
      <c r="J645" s="20"/>
    </row>
    <row r="646" customFormat="false" ht="15" hidden="false" customHeight="false" outlineLevel="0" collapsed="false">
      <c r="E646" s="20"/>
      <c r="F646" s="20"/>
      <c r="H646" s="20"/>
      <c r="I646" s="20"/>
      <c r="J646" s="20"/>
    </row>
    <row r="647" customFormat="false" ht="15" hidden="false" customHeight="false" outlineLevel="0" collapsed="false">
      <c r="E647" s="20"/>
      <c r="F647" s="20"/>
      <c r="H647" s="20"/>
      <c r="I647" s="20"/>
      <c r="J647" s="20"/>
    </row>
    <row r="648" customFormat="false" ht="15" hidden="false" customHeight="false" outlineLevel="0" collapsed="false">
      <c r="E648" s="20"/>
      <c r="F648" s="20"/>
      <c r="H648" s="20"/>
      <c r="I648" s="20"/>
      <c r="J648" s="20"/>
    </row>
    <row r="649" customFormat="false" ht="15" hidden="false" customHeight="false" outlineLevel="0" collapsed="false">
      <c r="E649" s="20"/>
      <c r="F649" s="20"/>
      <c r="H649" s="20"/>
      <c r="I649" s="20"/>
      <c r="J649" s="20"/>
    </row>
    <row r="650" customFormat="false" ht="15" hidden="false" customHeight="false" outlineLevel="0" collapsed="false">
      <c r="E650" s="20"/>
      <c r="F650" s="20"/>
      <c r="H650" s="20"/>
      <c r="I650" s="20"/>
      <c r="J650" s="20"/>
    </row>
    <row r="651" customFormat="false" ht="15" hidden="false" customHeight="false" outlineLevel="0" collapsed="false">
      <c r="E651" s="20"/>
      <c r="F651" s="20"/>
      <c r="H651" s="20"/>
      <c r="I651" s="20"/>
      <c r="J651" s="20"/>
    </row>
    <row r="652" customFormat="false" ht="15" hidden="false" customHeight="false" outlineLevel="0" collapsed="false">
      <c r="E652" s="20"/>
      <c r="F652" s="20"/>
      <c r="H652" s="20"/>
      <c r="I652" s="20"/>
      <c r="J652" s="20"/>
    </row>
    <row r="653" customFormat="false" ht="15" hidden="false" customHeight="false" outlineLevel="0" collapsed="false">
      <c r="E653" s="20"/>
      <c r="F653" s="20"/>
      <c r="H653" s="20"/>
      <c r="I653" s="20"/>
      <c r="J653" s="20"/>
    </row>
    <row r="654" customFormat="false" ht="15" hidden="false" customHeight="false" outlineLevel="0" collapsed="false">
      <c r="E654" s="20"/>
      <c r="F654" s="20"/>
      <c r="H654" s="20"/>
      <c r="I654" s="20"/>
      <c r="J654" s="20"/>
    </row>
    <row r="655" customFormat="false" ht="15" hidden="false" customHeight="false" outlineLevel="0" collapsed="false">
      <c r="E655" s="20"/>
      <c r="F655" s="20"/>
      <c r="H655" s="20"/>
      <c r="I655" s="20"/>
      <c r="J655" s="20"/>
    </row>
    <row r="656" customFormat="false" ht="15" hidden="false" customHeight="false" outlineLevel="0" collapsed="false">
      <c r="E656" s="20"/>
      <c r="F656" s="20"/>
      <c r="H656" s="20"/>
      <c r="I656" s="20"/>
      <c r="J656" s="20"/>
    </row>
    <row r="657" customFormat="false" ht="15" hidden="false" customHeight="false" outlineLevel="0" collapsed="false">
      <c r="E657" s="20"/>
      <c r="F657" s="20"/>
      <c r="H657" s="20"/>
      <c r="I657" s="20"/>
      <c r="J657" s="20"/>
    </row>
    <row r="658" customFormat="false" ht="15" hidden="false" customHeight="false" outlineLevel="0" collapsed="false">
      <c r="E658" s="20"/>
      <c r="F658" s="20"/>
      <c r="H658" s="20"/>
      <c r="I658" s="20"/>
      <c r="J658" s="20"/>
    </row>
    <row r="659" customFormat="false" ht="15" hidden="false" customHeight="false" outlineLevel="0" collapsed="false">
      <c r="E659" s="20"/>
      <c r="F659" s="20"/>
      <c r="H659" s="20"/>
      <c r="I659" s="20"/>
      <c r="J659" s="20"/>
    </row>
    <row r="660" customFormat="false" ht="15" hidden="false" customHeight="false" outlineLevel="0" collapsed="false">
      <c r="E660" s="20"/>
      <c r="F660" s="20"/>
      <c r="H660" s="20"/>
      <c r="I660" s="20"/>
      <c r="J660" s="20"/>
    </row>
    <row r="661" customFormat="false" ht="15" hidden="false" customHeight="false" outlineLevel="0" collapsed="false">
      <c r="E661" s="20"/>
      <c r="F661" s="20"/>
      <c r="H661" s="20"/>
      <c r="I661" s="20"/>
      <c r="J661" s="20"/>
    </row>
    <row r="662" customFormat="false" ht="15" hidden="false" customHeight="false" outlineLevel="0" collapsed="false">
      <c r="E662" s="20"/>
      <c r="F662" s="20"/>
      <c r="H662" s="20"/>
      <c r="I662" s="20"/>
      <c r="J662" s="20"/>
    </row>
    <row r="663" customFormat="false" ht="15" hidden="false" customHeight="false" outlineLevel="0" collapsed="false">
      <c r="E663" s="20"/>
      <c r="F663" s="20"/>
      <c r="H663" s="20"/>
      <c r="I663" s="20"/>
      <c r="J663" s="20"/>
    </row>
    <row r="664" customFormat="false" ht="15" hidden="false" customHeight="false" outlineLevel="0" collapsed="false">
      <c r="E664" s="20"/>
      <c r="F664" s="20"/>
      <c r="H664" s="20"/>
      <c r="I664" s="20"/>
      <c r="J664" s="20"/>
    </row>
    <row r="665" customFormat="false" ht="15" hidden="false" customHeight="false" outlineLevel="0" collapsed="false">
      <c r="E665" s="20"/>
      <c r="F665" s="20"/>
      <c r="H665" s="20"/>
      <c r="I665" s="20"/>
      <c r="J665" s="20"/>
    </row>
    <row r="666" customFormat="false" ht="15" hidden="false" customHeight="false" outlineLevel="0" collapsed="false">
      <c r="E666" s="20"/>
      <c r="F666" s="20"/>
      <c r="H666" s="20"/>
      <c r="I666" s="20"/>
      <c r="J666" s="20"/>
    </row>
    <row r="667" customFormat="false" ht="15" hidden="false" customHeight="false" outlineLevel="0" collapsed="false">
      <c r="E667" s="20"/>
      <c r="F667" s="20"/>
      <c r="H667" s="20"/>
      <c r="I667" s="20"/>
      <c r="J667" s="20"/>
    </row>
    <row r="668" customFormat="false" ht="15" hidden="false" customHeight="false" outlineLevel="0" collapsed="false">
      <c r="E668" s="20"/>
      <c r="F668" s="20"/>
      <c r="H668" s="20"/>
      <c r="I668" s="20"/>
      <c r="J668" s="20"/>
    </row>
    <row r="669" customFormat="false" ht="15" hidden="false" customHeight="false" outlineLevel="0" collapsed="false">
      <c r="E669" s="20"/>
      <c r="F669" s="20"/>
      <c r="H669" s="20"/>
      <c r="I669" s="20"/>
      <c r="J669" s="20"/>
    </row>
    <row r="670" customFormat="false" ht="15" hidden="false" customHeight="false" outlineLevel="0" collapsed="false">
      <c r="E670" s="20"/>
      <c r="F670" s="20"/>
      <c r="H670" s="20"/>
      <c r="I670" s="20"/>
      <c r="J670" s="20"/>
    </row>
    <row r="671" customFormat="false" ht="15" hidden="false" customHeight="false" outlineLevel="0" collapsed="false">
      <c r="E671" s="20"/>
      <c r="F671" s="20"/>
      <c r="H671" s="20"/>
      <c r="I671" s="20"/>
      <c r="J671" s="20"/>
    </row>
    <row r="672" customFormat="false" ht="15" hidden="false" customHeight="false" outlineLevel="0" collapsed="false">
      <c r="E672" s="20"/>
      <c r="F672" s="20"/>
      <c r="H672" s="20"/>
      <c r="I672" s="20"/>
      <c r="J672" s="20"/>
    </row>
    <row r="673" customFormat="false" ht="15" hidden="false" customHeight="false" outlineLevel="0" collapsed="false">
      <c r="E673" s="20"/>
      <c r="F673" s="20"/>
      <c r="H673" s="20"/>
      <c r="I673" s="20"/>
      <c r="J673" s="20"/>
    </row>
    <row r="674" customFormat="false" ht="15" hidden="false" customHeight="false" outlineLevel="0" collapsed="false">
      <c r="E674" s="20"/>
      <c r="F674" s="20"/>
      <c r="H674" s="20"/>
      <c r="I674" s="20"/>
      <c r="J674" s="20"/>
    </row>
    <row r="675" customFormat="false" ht="15" hidden="false" customHeight="false" outlineLevel="0" collapsed="false">
      <c r="E675" s="20"/>
      <c r="F675" s="20"/>
      <c r="H675" s="20"/>
      <c r="I675" s="20"/>
      <c r="J675" s="20"/>
    </row>
    <row r="676" customFormat="false" ht="15" hidden="false" customHeight="false" outlineLevel="0" collapsed="false">
      <c r="E676" s="20"/>
      <c r="F676" s="20"/>
      <c r="H676" s="20"/>
      <c r="I676" s="20"/>
      <c r="J676" s="20"/>
    </row>
    <row r="677" customFormat="false" ht="15" hidden="false" customHeight="false" outlineLevel="0" collapsed="false">
      <c r="E677" s="20"/>
      <c r="F677" s="20"/>
      <c r="H677" s="20"/>
      <c r="I677" s="20"/>
      <c r="J677" s="20"/>
    </row>
    <row r="678" customFormat="false" ht="15" hidden="false" customHeight="false" outlineLevel="0" collapsed="false">
      <c r="E678" s="20"/>
      <c r="F678" s="20"/>
      <c r="H678" s="20"/>
      <c r="I678" s="20"/>
      <c r="J678" s="20"/>
    </row>
    <row r="679" customFormat="false" ht="15" hidden="false" customHeight="false" outlineLevel="0" collapsed="false">
      <c r="E679" s="20"/>
      <c r="F679" s="20"/>
      <c r="H679" s="20"/>
      <c r="I679" s="20"/>
      <c r="J679" s="20"/>
    </row>
    <row r="680" customFormat="false" ht="15" hidden="false" customHeight="false" outlineLevel="0" collapsed="false">
      <c r="E680" s="20"/>
      <c r="F680" s="20"/>
      <c r="H680" s="20"/>
      <c r="I680" s="20"/>
      <c r="J680" s="20"/>
    </row>
    <row r="681" customFormat="false" ht="15" hidden="false" customHeight="false" outlineLevel="0" collapsed="false">
      <c r="E681" s="20"/>
      <c r="F681" s="20"/>
      <c r="H681" s="20"/>
      <c r="I681" s="20"/>
      <c r="J681" s="20"/>
    </row>
    <row r="682" customFormat="false" ht="15" hidden="false" customHeight="false" outlineLevel="0" collapsed="false">
      <c r="E682" s="20"/>
      <c r="F682" s="20"/>
      <c r="H682" s="20"/>
      <c r="I682" s="20"/>
      <c r="J682" s="20"/>
    </row>
    <row r="683" customFormat="false" ht="15" hidden="false" customHeight="false" outlineLevel="0" collapsed="false">
      <c r="E683" s="20"/>
      <c r="F683" s="20"/>
      <c r="H683" s="20"/>
      <c r="I683" s="20"/>
      <c r="J683" s="20"/>
    </row>
    <row r="684" customFormat="false" ht="15" hidden="false" customHeight="false" outlineLevel="0" collapsed="false">
      <c r="E684" s="20"/>
      <c r="F684" s="20"/>
      <c r="H684" s="20"/>
      <c r="I684" s="20"/>
      <c r="J684" s="20"/>
    </row>
    <row r="685" customFormat="false" ht="15" hidden="false" customHeight="false" outlineLevel="0" collapsed="false">
      <c r="E685" s="20"/>
      <c r="F685" s="20"/>
      <c r="H685" s="20"/>
      <c r="I685" s="20"/>
      <c r="J685" s="20"/>
    </row>
    <row r="686" customFormat="false" ht="15" hidden="false" customHeight="false" outlineLevel="0" collapsed="false">
      <c r="E686" s="20"/>
      <c r="F686" s="20"/>
      <c r="H686" s="20"/>
      <c r="I686" s="20"/>
      <c r="J686" s="20"/>
    </row>
    <row r="687" customFormat="false" ht="15" hidden="false" customHeight="false" outlineLevel="0" collapsed="false">
      <c r="E687" s="20"/>
      <c r="F687" s="20"/>
      <c r="H687" s="20"/>
      <c r="I687" s="20"/>
      <c r="J687" s="20"/>
    </row>
    <row r="688" customFormat="false" ht="15" hidden="false" customHeight="false" outlineLevel="0" collapsed="false">
      <c r="E688" s="20"/>
      <c r="F688" s="20"/>
      <c r="H688" s="20"/>
      <c r="I688" s="20"/>
      <c r="J688" s="20"/>
    </row>
    <row r="689" customFormat="false" ht="15" hidden="false" customHeight="false" outlineLevel="0" collapsed="false">
      <c r="E689" s="20"/>
      <c r="F689" s="20"/>
      <c r="H689" s="20"/>
      <c r="I689" s="20"/>
      <c r="J689" s="20"/>
    </row>
    <row r="690" customFormat="false" ht="15" hidden="false" customHeight="false" outlineLevel="0" collapsed="false">
      <c r="E690" s="20"/>
      <c r="F690" s="20"/>
      <c r="H690" s="20"/>
      <c r="I690" s="20"/>
      <c r="J690" s="20"/>
    </row>
    <row r="691" customFormat="false" ht="15" hidden="false" customHeight="false" outlineLevel="0" collapsed="false">
      <c r="E691" s="20"/>
      <c r="F691" s="20"/>
      <c r="H691" s="20"/>
      <c r="I691" s="20"/>
      <c r="J691" s="20"/>
    </row>
    <row r="692" customFormat="false" ht="15" hidden="false" customHeight="false" outlineLevel="0" collapsed="false">
      <c r="E692" s="20"/>
      <c r="F692" s="20"/>
      <c r="H692" s="20"/>
      <c r="I692" s="20"/>
      <c r="J692" s="20"/>
    </row>
    <row r="693" customFormat="false" ht="15" hidden="false" customHeight="false" outlineLevel="0" collapsed="false">
      <c r="E693" s="20"/>
      <c r="F693" s="20"/>
      <c r="H693" s="20"/>
      <c r="I693" s="20"/>
      <c r="J693" s="20"/>
    </row>
    <row r="694" customFormat="false" ht="15" hidden="false" customHeight="false" outlineLevel="0" collapsed="false">
      <c r="E694" s="20"/>
      <c r="F694" s="20"/>
      <c r="H694" s="20"/>
      <c r="I694" s="20"/>
      <c r="J694" s="20"/>
    </row>
    <row r="695" customFormat="false" ht="15" hidden="false" customHeight="false" outlineLevel="0" collapsed="false">
      <c r="E695" s="20"/>
      <c r="F695" s="20"/>
      <c r="H695" s="20"/>
      <c r="I695" s="20"/>
      <c r="J695" s="20"/>
    </row>
    <row r="696" customFormat="false" ht="15" hidden="false" customHeight="false" outlineLevel="0" collapsed="false">
      <c r="E696" s="20"/>
      <c r="F696" s="20"/>
      <c r="H696" s="20"/>
      <c r="I696" s="20"/>
      <c r="J696" s="20"/>
    </row>
    <row r="697" customFormat="false" ht="15" hidden="false" customHeight="false" outlineLevel="0" collapsed="false">
      <c r="E697" s="20"/>
      <c r="F697" s="20"/>
      <c r="H697" s="20"/>
      <c r="I697" s="20"/>
      <c r="J697" s="20"/>
    </row>
    <row r="698" customFormat="false" ht="15" hidden="false" customHeight="false" outlineLevel="0" collapsed="false">
      <c r="E698" s="20"/>
      <c r="F698" s="20"/>
      <c r="H698" s="20"/>
      <c r="I698" s="20"/>
      <c r="J698" s="20"/>
    </row>
    <row r="699" customFormat="false" ht="15" hidden="false" customHeight="false" outlineLevel="0" collapsed="false">
      <c r="E699" s="20"/>
      <c r="F699" s="20"/>
      <c r="H699" s="20"/>
      <c r="I699" s="20"/>
      <c r="J699" s="20"/>
    </row>
    <row r="700" customFormat="false" ht="15" hidden="false" customHeight="false" outlineLevel="0" collapsed="false">
      <c r="E700" s="20"/>
      <c r="F700" s="20"/>
      <c r="H700" s="20"/>
      <c r="I700" s="20"/>
      <c r="J700" s="20"/>
    </row>
    <row r="701" customFormat="false" ht="15" hidden="false" customHeight="false" outlineLevel="0" collapsed="false">
      <c r="E701" s="20"/>
      <c r="F701" s="20"/>
      <c r="H701" s="20"/>
      <c r="I701" s="20"/>
      <c r="J701" s="20"/>
    </row>
    <row r="702" customFormat="false" ht="15" hidden="false" customHeight="false" outlineLevel="0" collapsed="false">
      <c r="E702" s="20"/>
      <c r="F702" s="20"/>
      <c r="H702" s="20"/>
      <c r="I702" s="20"/>
      <c r="J702" s="20"/>
    </row>
    <row r="703" customFormat="false" ht="15" hidden="false" customHeight="false" outlineLevel="0" collapsed="false">
      <c r="E703" s="20"/>
      <c r="F703" s="20"/>
      <c r="H703" s="20"/>
      <c r="I703" s="20"/>
      <c r="J703" s="20"/>
    </row>
    <row r="704" customFormat="false" ht="15" hidden="false" customHeight="false" outlineLevel="0" collapsed="false">
      <c r="E704" s="20"/>
      <c r="F704" s="20"/>
      <c r="H704" s="20"/>
      <c r="I704" s="20"/>
      <c r="J704" s="20"/>
    </row>
    <row r="705" customFormat="false" ht="15" hidden="false" customHeight="false" outlineLevel="0" collapsed="false">
      <c r="E705" s="20"/>
      <c r="F705" s="20"/>
      <c r="H705" s="20"/>
      <c r="I705" s="20"/>
      <c r="J705" s="20"/>
    </row>
    <row r="706" customFormat="false" ht="15" hidden="false" customHeight="false" outlineLevel="0" collapsed="false">
      <c r="E706" s="20"/>
      <c r="F706" s="20"/>
      <c r="H706" s="20"/>
      <c r="I706" s="20"/>
      <c r="J706" s="20"/>
    </row>
    <row r="707" customFormat="false" ht="15" hidden="false" customHeight="false" outlineLevel="0" collapsed="false">
      <c r="E707" s="20"/>
      <c r="F707" s="20"/>
      <c r="H707" s="20"/>
      <c r="I707" s="20"/>
      <c r="J707" s="20"/>
    </row>
    <row r="708" customFormat="false" ht="15" hidden="false" customHeight="false" outlineLevel="0" collapsed="false">
      <c r="E708" s="20"/>
      <c r="F708" s="20"/>
      <c r="H708" s="20"/>
      <c r="I708" s="20"/>
      <c r="J708" s="20"/>
    </row>
    <row r="709" customFormat="false" ht="15" hidden="false" customHeight="false" outlineLevel="0" collapsed="false">
      <c r="E709" s="20"/>
      <c r="F709" s="20"/>
      <c r="H709" s="20"/>
      <c r="I709" s="20"/>
      <c r="J709" s="20"/>
    </row>
    <row r="710" customFormat="false" ht="15" hidden="false" customHeight="false" outlineLevel="0" collapsed="false">
      <c r="E710" s="20"/>
      <c r="F710" s="20"/>
      <c r="H710" s="20"/>
      <c r="I710" s="20"/>
      <c r="J710" s="20"/>
    </row>
    <row r="711" customFormat="false" ht="15" hidden="false" customHeight="false" outlineLevel="0" collapsed="false">
      <c r="E711" s="20"/>
      <c r="F711" s="20"/>
      <c r="H711" s="20"/>
      <c r="I711" s="20"/>
      <c r="J711" s="20"/>
    </row>
    <row r="712" customFormat="false" ht="15" hidden="false" customHeight="false" outlineLevel="0" collapsed="false">
      <c r="E712" s="20"/>
      <c r="F712" s="20"/>
      <c r="H712" s="20"/>
      <c r="I712" s="20"/>
      <c r="J712" s="20"/>
    </row>
    <row r="713" customFormat="false" ht="15" hidden="false" customHeight="false" outlineLevel="0" collapsed="false">
      <c r="E713" s="20"/>
      <c r="F713" s="20"/>
      <c r="H713" s="20"/>
      <c r="I713" s="20"/>
      <c r="J713" s="20"/>
    </row>
    <row r="714" customFormat="false" ht="15" hidden="false" customHeight="false" outlineLevel="0" collapsed="false">
      <c r="E714" s="20"/>
      <c r="F714" s="20"/>
      <c r="H714" s="20"/>
      <c r="I714" s="20"/>
      <c r="J714" s="20"/>
    </row>
    <row r="715" customFormat="false" ht="15" hidden="false" customHeight="false" outlineLevel="0" collapsed="false">
      <c r="E715" s="20"/>
      <c r="F715" s="20"/>
      <c r="H715" s="20"/>
      <c r="I715" s="20"/>
      <c r="J715" s="20"/>
    </row>
    <row r="716" customFormat="false" ht="15" hidden="false" customHeight="false" outlineLevel="0" collapsed="false">
      <c r="E716" s="20"/>
      <c r="F716" s="20"/>
      <c r="H716" s="20"/>
      <c r="I716" s="20"/>
      <c r="J716" s="20"/>
    </row>
    <row r="717" customFormat="false" ht="15" hidden="false" customHeight="false" outlineLevel="0" collapsed="false">
      <c r="E717" s="20"/>
      <c r="F717" s="20"/>
      <c r="H717" s="20"/>
      <c r="I717" s="20"/>
      <c r="J717" s="20"/>
    </row>
    <row r="718" customFormat="false" ht="15" hidden="false" customHeight="false" outlineLevel="0" collapsed="false">
      <c r="E718" s="20"/>
      <c r="F718" s="20"/>
      <c r="H718" s="20"/>
      <c r="I718" s="20"/>
      <c r="J718" s="20"/>
    </row>
    <row r="719" customFormat="false" ht="15" hidden="false" customHeight="false" outlineLevel="0" collapsed="false">
      <c r="E719" s="20"/>
      <c r="F719" s="20"/>
      <c r="H719" s="20"/>
      <c r="I719" s="20"/>
      <c r="J719" s="20"/>
    </row>
    <row r="720" customFormat="false" ht="15" hidden="false" customHeight="false" outlineLevel="0" collapsed="false">
      <c r="E720" s="20"/>
      <c r="F720" s="20"/>
      <c r="H720" s="20"/>
      <c r="I720" s="20"/>
      <c r="J720" s="20"/>
    </row>
    <row r="721" customFormat="false" ht="15" hidden="false" customHeight="false" outlineLevel="0" collapsed="false">
      <c r="E721" s="20"/>
      <c r="F721" s="20"/>
      <c r="H721" s="20"/>
      <c r="I721" s="20"/>
      <c r="J721" s="20"/>
    </row>
    <row r="722" customFormat="false" ht="15" hidden="false" customHeight="false" outlineLevel="0" collapsed="false">
      <c r="E722" s="20"/>
      <c r="F722" s="20"/>
      <c r="H722" s="20"/>
      <c r="I722" s="20"/>
      <c r="J722" s="20"/>
    </row>
    <row r="723" customFormat="false" ht="15" hidden="false" customHeight="false" outlineLevel="0" collapsed="false">
      <c r="E723" s="20"/>
      <c r="F723" s="20"/>
      <c r="H723" s="20"/>
      <c r="I723" s="20"/>
      <c r="J723" s="20"/>
    </row>
    <row r="724" customFormat="false" ht="15" hidden="false" customHeight="false" outlineLevel="0" collapsed="false">
      <c r="E724" s="20"/>
      <c r="F724" s="20"/>
      <c r="H724" s="20"/>
      <c r="I724" s="20"/>
      <c r="J724" s="20"/>
    </row>
    <row r="725" customFormat="false" ht="15" hidden="false" customHeight="false" outlineLevel="0" collapsed="false">
      <c r="E725" s="20"/>
      <c r="F725" s="20"/>
      <c r="H725" s="20"/>
      <c r="I725" s="20"/>
      <c r="J725" s="20"/>
    </row>
    <row r="726" customFormat="false" ht="15" hidden="false" customHeight="false" outlineLevel="0" collapsed="false">
      <c r="E726" s="20"/>
      <c r="F726" s="20"/>
      <c r="H726" s="20"/>
      <c r="I726" s="20"/>
      <c r="J726" s="20"/>
    </row>
    <row r="727" customFormat="false" ht="15" hidden="false" customHeight="false" outlineLevel="0" collapsed="false">
      <c r="E727" s="20"/>
      <c r="F727" s="20"/>
      <c r="H727" s="20"/>
      <c r="I727" s="20"/>
      <c r="J727" s="20"/>
    </row>
    <row r="728" customFormat="false" ht="15" hidden="false" customHeight="false" outlineLevel="0" collapsed="false">
      <c r="E728" s="20"/>
      <c r="F728" s="20"/>
      <c r="H728" s="20"/>
      <c r="I728" s="20"/>
      <c r="J728" s="20"/>
    </row>
    <row r="729" customFormat="false" ht="15" hidden="false" customHeight="false" outlineLevel="0" collapsed="false">
      <c r="E729" s="20"/>
      <c r="F729" s="20"/>
      <c r="H729" s="20"/>
      <c r="I729" s="20"/>
      <c r="J729" s="20"/>
    </row>
    <row r="730" customFormat="false" ht="15" hidden="false" customHeight="false" outlineLevel="0" collapsed="false">
      <c r="E730" s="20"/>
      <c r="F730" s="20"/>
      <c r="H730" s="20"/>
      <c r="I730" s="20"/>
      <c r="J730" s="20"/>
    </row>
    <row r="731" customFormat="false" ht="15" hidden="false" customHeight="false" outlineLevel="0" collapsed="false">
      <c r="E731" s="20"/>
      <c r="F731" s="20"/>
      <c r="H731" s="20"/>
      <c r="I731" s="20"/>
      <c r="J731" s="20"/>
    </row>
    <row r="732" customFormat="false" ht="15" hidden="false" customHeight="false" outlineLevel="0" collapsed="false">
      <c r="E732" s="20"/>
      <c r="F732" s="20"/>
      <c r="H732" s="20"/>
      <c r="I732" s="20"/>
      <c r="J732" s="20"/>
    </row>
    <row r="733" customFormat="false" ht="15" hidden="false" customHeight="false" outlineLevel="0" collapsed="false">
      <c r="E733" s="20"/>
      <c r="F733" s="20"/>
      <c r="H733" s="20"/>
      <c r="I733" s="20"/>
      <c r="J733" s="20"/>
    </row>
    <row r="734" customFormat="false" ht="15" hidden="false" customHeight="false" outlineLevel="0" collapsed="false">
      <c r="E734" s="20"/>
      <c r="F734" s="20"/>
      <c r="H734" s="20"/>
      <c r="I734" s="20"/>
      <c r="J734" s="20"/>
    </row>
    <row r="735" customFormat="false" ht="15" hidden="false" customHeight="false" outlineLevel="0" collapsed="false">
      <c r="E735" s="20"/>
      <c r="F735" s="20"/>
      <c r="H735" s="20"/>
      <c r="I735" s="20"/>
      <c r="J735" s="20"/>
    </row>
    <row r="736" customFormat="false" ht="15" hidden="false" customHeight="false" outlineLevel="0" collapsed="false">
      <c r="E736" s="20"/>
      <c r="F736" s="20"/>
      <c r="H736" s="20"/>
      <c r="I736" s="20"/>
      <c r="J736" s="20"/>
    </row>
    <row r="737" customFormat="false" ht="15" hidden="false" customHeight="false" outlineLevel="0" collapsed="false">
      <c r="E737" s="20"/>
      <c r="F737" s="20"/>
      <c r="H737" s="20"/>
      <c r="I737" s="20"/>
      <c r="J737" s="20"/>
    </row>
    <row r="738" customFormat="false" ht="15" hidden="false" customHeight="false" outlineLevel="0" collapsed="false">
      <c r="E738" s="20"/>
      <c r="F738" s="20"/>
      <c r="H738" s="20"/>
      <c r="I738" s="20"/>
      <c r="J738" s="20"/>
    </row>
    <row r="739" customFormat="false" ht="15" hidden="false" customHeight="false" outlineLevel="0" collapsed="false">
      <c r="E739" s="20"/>
      <c r="F739" s="20"/>
      <c r="H739" s="20"/>
      <c r="I739" s="20"/>
      <c r="J739" s="20"/>
    </row>
    <row r="740" customFormat="false" ht="15" hidden="false" customHeight="false" outlineLevel="0" collapsed="false">
      <c r="E740" s="20"/>
      <c r="F740" s="20"/>
      <c r="H740" s="20"/>
      <c r="I740" s="20"/>
      <c r="J740" s="20"/>
    </row>
    <row r="741" customFormat="false" ht="15" hidden="false" customHeight="false" outlineLevel="0" collapsed="false">
      <c r="E741" s="20"/>
      <c r="F741" s="20"/>
      <c r="H741" s="20"/>
      <c r="I741" s="20"/>
      <c r="J741" s="20"/>
    </row>
    <row r="742" customFormat="false" ht="15" hidden="false" customHeight="false" outlineLevel="0" collapsed="false">
      <c r="E742" s="20"/>
      <c r="F742" s="20"/>
      <c r="H742" s="20"/>
      <c r="I742" s="20"/>
      <c r="J742" s="20"/>
    </row>
    <row r="743" customFormat="false" ht="15" hidden="false" customHeight="false" outlineLevel="0" collapsed="false">
      <c r="E743" s="20"/>
      <c r="F743" s="20"/>
      <c r="H743" s="20"/>
      <c r="I743" s="20"/>
      <c r="J743" s="20"/>
    </row>
    <row r="744" customFormat="false" ht="15" hidden="false" customHeight="false" outlineLevel="0" collapsed="false">
      <c r="E744" s="20"/>
      <c r="F744" s="20"/>
      <c r="H744" s="20"/>
      <c r="I744" s="20"/>
      <c r="J744" s="20"/>
    </row>
    <row r="745" customFormat="false" ht="15" hidden="false" customHeight="false" outlineLevel="0" collapsed="false">
      <c r="E745" s="20"/>
      <c r="F745" s="20"/>
      <c r="H745" s="20"/>
      <c r="I745" s="20"/>
      <c r="J745" s="20"/>
    </row>
    <row r="746" customFormat="false" ht="15" hidden="false" customHeight="false" outlineLevel="0" collapsed="false">
      <c r="E746" s="20"/>
      <c r="F746" s="20"/>
      <c r="H746" s="20"/>
      <c r="I746" s="20"/>
      <c r="J746" s="20"/>
    </row>
    <row r="747" customFormat="false" ht="15" hidden="false" customHeight="false" outlineLevel="0" collapsed="false">
      <c r="E747" s="20"/>
      <c r="F747" s="20"/>
      <c r="H747" s="20"/>
      <c r="I747" s="20"/>
      <c r="J747" s="20"/>
    </row>
    <row r="748" customFormat="false" ht="15" hidden="false" customHeight="false" outlineLevel="0" collapsed="false">
      <c r="E748" s="20"/>
      <c r="F748" s="20"/>
      <c r="H748" s="20"/>
      <c r="I748" s="20"/>
      <c r="J748" s="20"/>
    </row>
    <row r="749" customFormat="false" ht="15" hidden="false" customHeight="false" outlineLevel="0" collapsed="false">
      <c r="E749" s="20"/>
      <c r="F749" s="20"/>
      <c r="H749" s="20"/>
      <c r="I749" s="20"/>
      <c r="J749" s="20"/>
    </row>
    <row r="750" customFormat="false" ht="15" hidden="false" customHeight="false" outlineLevel="0" collapsed="false">
      <c r="E750" s="20"/>
      <c r="F750" s="20"/>
      <c r="H750" s="20"/>
      <c r="I750" s="20"/>
      <c r="J750" s="20"/>
    </row>
    <row r="751" customFormat="false" ht="15" hidden="false" customHeight="false" outlineLevel="0" collapsed="false">
      <c r="E751" s="20"/>
      <c r="F751" s="20"/>
      <c r="H751" s="20"/>
      <c r="I751" s="20"/>
      <c r="J751" s="20"/>
    </row>
    <row r="752" customFormat="false" ht="15" hidden="false" customHeight="false" outlineLevel="0" collapsed="false">
      <c r="E752" s="20"/>
      <c r="F752" s="20"/>
      <c r="H752" s="20"/>
      <c r="I752" s="20"/>
      <c r="J752" s="20"/>
    </row>
    <row r="753" customFormat="false" ht="15" hidden="false" customHeight="false" outlineLevel="0" collapsed="false">
      <c r="E753" s="20"/>
      <c r="F753" s="20"/>
      <c r="H753" s="20"/>
      <c r="I753" s="20"/>
      <c r="J753" s="20"/>
    </row>
    <row r="754" customFormat="false" ht="15" hidden="false" customHeight="false" outlineLevel="0" collapsed="false">
      <c r="E754" s="20"/>
      <c r="F754" s="20"/>
      <c r="H754" s="20"/>
      <c r="I754" s="20"/>
      <c r="J754" s="20"/>
    </row>
    <row r="755" customFormat="false" ht="15" hidden="false" customHeight="false" outlineLevel="0" collapsed="false">
      <c r="E755" s="20"/>
      <c r="F755" s="20"/>
      <c r="H755" s="20"/>
      <c r="I755" s="20"/>
      <c r="J755" s="20"/>
    </row>
    <row r="756" customFormat="false" ht="15" hidden="false" customHeight="false" outlineLevel="0" collapsed="false">
      <c r="E756" s="20"/>
      <c r="F756" s="20"/>
      <c r="H756" s="20"/>
      <c r="I756" s="20"/>
      <c r="J756" s="20"/>
    </row>
    <row r="757" customFormat="false" ht="15" hidden="false" customHeight="false" outlineLevel="0" collapsed="false">
      <c r="E757" s="20"/>
      <c r="F757" s="20"/>
      <c r="H757" s="20"/>
      <c r="I757" s="20"/>
      <c r="J757" s="20"/>
    </row>
    <row r="758" customFormat="false" ht="15" hidden="false" customHeight="false" outlineLevel="0" collapsed="false">
      <c r="E758" s="20"/>
      <c r="F758" s="20"/>
      <c r="H758" s="20"/>
      <c r="I758" s="20"/>
      <c r="J758" s="20"/>
    </row>
    <row r="759" customFormat="false" ht="15" hidden="false" customHeight="false" outlineLevel="0" collapsed="false">
      <c r="E759" s="20"/>
      <c r="F759" s="20"/>
      <c r="H759" s="20"/>
      <c r="I759" s="20"/>
      <c r="J759" s="20"/>
    </row>
    <row r="760" customFormat="false" ht="15" hidden="false" customHeight="false" outlineLevel="0" collapsed="false">
      <c r="E760" s="20"/>
      <c r="F760" s="20"/>
      <c r="H760" s="20"/>
      <c r="I760" s="20"/>
      <c r="J760" s="20"/>
    </row>
    <row r="761" customFormat="false" ht="15" hidden="false" customHeight="false" outlineLevel="0" collapsed="false">
      <c r="E761" s="20"/>
      <c r="F761" s="20"/>
      <c r="H761" s="20"/>
      <c r="I761" s="20"/>
      <c r="J761" s="20"/>
    </row>
    <row r="762" customFormat="false" ht="15" hidden="false" customHeight="false" outlineLevel="0" collapsed="false">
      <c r="E762" s="20"/>
      <c r="F762" s="20"/>
      <c r="H762" s="20"/>
      <c r="I762" s="20"/>
      <c r="J762" s="20"/>
    </row>
    <row r="763" customFormat="false" ht="15" hidden="false" customHeight="false" outlineLevel="0" collapsed="false">
      <c r="E763" s="20"/>
      <c r="F763" s="20"/>
      <c r="H763" s="20"/>
      <c r="I763" s="20"/>
      <c r="J763" s="20"/>
    </row>
    <row r="764" customFormat="false" ht="15" hidden="false" customHeight="false" outlineLevel="0" collapsed="false">
      <c r="E764" s="20"/>
      <c r="F764" s="20"/>
      <c r="H764" s="20"/>
      <c r="I764" s="20"/>
      <c r="J764" s="20"/>
    </row>
    <row r="765" customFormat="false" ht="15" hidden="false" customHeight="false" outlineLevel="0" collapsed="false">
      <c r="E765" s="20"/>
      <c r="F765" s="20"/>
      <c r="H765" s="20"/>
      <c r="I765" s="20"/>
      <c r="J765" s="20"/>
    </row>
    <row r="766" customFormat="false" ht="15" hidden="false" customHeight="false" outlineLevel="0" collapsed="false">
      <c r="E766" s="20"/>
      <c r="F766" s="20"/>
      <c r="H766" s="20"/>
      <c r="I766" s="20"/>
      <c r="J766" s="20"/>
    </row>
    <row r="767" customFormat="false" ht="15" hidden="false" customHeight="false" outlineLevel="0" collapsed="false">
      <c r="E767" s="20"/>
      <c r="F767" s="20"/>
      <c r="H767" s="20"/>
      <c r="I767" s="20"/>
      <c r="J767" s="20"/>
    </row>
    <row r="768" customFormat="false" ht="15" hidden="false" customHeight="false" outlineLevel="0" collapsed="false">
      <c r="E768" s="20"/>
      <c r="F768" s="20"/>
      <c r="H768" s="20"/>
      <c r="I768" s="20"/>
      <c r="J768" s="20"/>
    </row>
    <row r="769" customFormat="false" ht="15" hidden="false" customHeight="false" outlineLevel="0" collapsed="false">
      <c r="E769" s="20"/>
      <c r="F769" s="20"/>
      <c r="H769" s="20"/>
      <c r="I769" s="20"/>
      <c r="J769" s="20"/>
    </row>
    <row r="770" customFormat="false" ht="15" hidden="false" customHeight="false" outlineLevel="0" collapsed="false">
      <c r="E770" s="20"/>
      <c r="F770" s="20"/>
      <c r="H770" s="20"/>
      <c r="I770" s="20"/>
      <c r="J770" s="20"/>
    </row>
    <row r="771" customFormat="false" ht="15" hidden="false" customHeight="false" outlineLevel="0" collapsed="false">
      <c r="E771" s="20"/>
      <c r="F771" s="20"/>
      <c r="H771" s="20"/>
      <c r="I771" s="20"/>
      <c r="J771" s="20"/>
    </row>
    <row r="772" customFormat="false" ht="15" hidden="false" customHeight="false" outlineLevel="0" collapsed="false">
      <c r="E772" s="20"/>
      <c r="F772" s="20"/>
      <c r="H772" s="20"/>
      <c r="I772" s="20"/>
      <c r="J772" s="20"/>
    </row>
    <row r="773" customFormat="false" ht="15" hidden="false" customHeight="false" outlineLevel="0" collapsed="false">
      <c r="E773" s="20"/>
      <c r="F773" s="20"/>
      <c r="H773" s="20"/>
      <c r="I773" s="20"/>
      <c r="J773" s="20"/>
    </row>
    <row r="774" customFormat="false" ht="15" hidden="false" customHeight="false" outlineLevel="0" collapsed="false">
      <c r="E774" s="20"/>
      <c r="F774" s="20"/>
      <c r="H774" s="20"/>
      <c r="I774" s="20"/>
      <c r="J774" s="20"/>
    </row>
    <row r="775" customFormat="false" ht="15" hidden="false" customHeight="false" outlineLevel="0" collapsed="false">
      <c r="E775" s="20"/>
      <c r="F775" s="20"/>
      <c r="H775" s="20"/>
      <c r="I775" s="20"/>
      <c r="J775" s="20"/>
    </row>
    <row r="776" customFormat="false" ht="15" hidden="false" customHeight="false" outlineLevel="0" collapsed="false">
      <c r="E776" s="20"/>
      <c r="F776" s="20"/>
      <c r="H776" s="20"/>
      <c r="I776" s="20"/>
      <c r="J776" s="20"/>
    </row>
    <row r="777" customFormat="false" ht="15" hidden="false" customHeight="false" outlineLevel="0" collapsed="false">
      <c r="E777" s="20"/>
      <c r="F777" s="20"/>
      <c r="H777" s="20"/>
      <c r="I777" s="20"/>
      <c r="J777" s="20"/>
    </row>
    <row r="778" customFormat="false" ht="15" hidden="false" customHeight="false" outlineLevel="0" collapsed="false">
      <c r="E778" s="20"/>
      <c r="F778" s="20"/>
      <c r="H778" s="20"/>
      <c r="I778" s="20"/>
      <c r="J778" s="20"/>
    </row>
    <row r="779" customFormat="false" ht="15" hidden="false" customHeight="false" outlineLevel="0" collapsed="false">
      <c r="E779" s="20"/>
      <c r="F779" s="20"/>
      <c r="H779" s="20"/>
      <c r="I779" s="20"/>
      <c r="J779" s="20"/>
    </row>
    <row r="780" customFormat="false" ht="15" hidden="false" customHeight="false" outlineLevel="0" collapsed="false">
      <c r="E780" s="20"/>
      <c r="F780" s="20"/>
      <c r="H780" s="20"/>
      <c r="I780" s="20"/>
      <c r="J780" s="20"/>
    </row>
    <row r="781" customFormat="false" ht="15" hidden="false" customHeight="false" outlineLevel="0" collapsed="false">
      <c r="E781" s="20"/>
      <c r="F781" s="20"/>
      <c r="H781" s="20"/>
      <c r="I781" s="20"/>
      <c r="J781" s="20"/>
    </row>
    <row r="782" customFormat="false" ht="15" hidden="false" customHeight="false" outlineLevel="0" collapsed="false">
      <c r="E782" s="20"/>
      <c r="F782" s="20"/>
      <c r="H782" s="20"/>
      <c r="I782" s="20"/>
      <c r="J782" s="20"/>
    </row>
    <row r="783" customFormat="false" ht="15" hidden="false" customHeight="false" outlineLevel="0" collapsed="false">
      <c r="E783" s="20"/>
      <c r="F783" s="20"/>
      <c r="H783" s="20"/>
      <c r="I783" s="20"/>
      <c r="J783" s="20"/>
    </row>
    <row r="784" customFormat="false" ht="15" hidden="false" customHeight="false" outlineLevel="0" collapsed="false">
      <c r="E784" s="20"/>
      <c r="F784" s="20"/>
      <c r="H784" s="20"/>
      <c r="I784" s="20"/>
      <c r="J784" s="20"/>
    </row>
    <row r="785" customFormat="false" ht="15" hidden="false" customHeight="false" outlineLevel="0" collapsed="false">
      <c r="E785" s="20"/>
      <c r="F785" s="20"/>
      <c r="H785" s="20"/>
      <c r="I785" s="20"/>
      <c r="J785" s="20"/>
    </row>
    <row r="786" customFormat="false" ht="15" hidden="false" customHeight="false" outlineLevel="0" collapsed="false">
      <c r="E786" s="20"/>
      <c r="F786" s="20"/>
      <c r="H786" s="20"/>
      <c r="I786" s="20"/>
      <c r="J786" s="20"/>
    </row>
    <row r="787" customFormat="false" ht="15" hidden="false" customHeight="false" outlineLevel="0" collapsed="false">
      <c r="E787" s="20"/>
      <c r="F787" s="20"/>
      <c r="H787" s="20"/>
      <c r="I787" s="20"/>
      <c r="J787" s="20"/>
    </row>
    <row r="788" customFormat="false" ht="15" hidden="false" customHeight="false" outlineLevel="0" collapsed="false">
      <c r="E788" s="20"/>
      <c r="F788" s="20"/>
      <c r="H788" s="20"/>
      <c r="I788" s="20"/>
      <c r="J788" s="20"/>
    </row>
    <row r="789" customFormat="false" ht="15" hidden="false" customHeight="false" outlineLevel="0" collapsed="false">
      <c r="E789" s="20"/>
      <c r="F789" s="20"/>
      <c r="H789" s="20"/>
      <c r="I789" s="20"/>
      <c r="J789" s="20"/>
    </row>
    <row r="790" customFormat="false" ht="15" hidden="false" customHeight="false" outlineLevel="0" collapsed="false">
      <c r="E790" s="20"/>
      <c r="F790" s="20"/>
      <c r="H790" s="20"/>
      <c r="I790" s="20"/>
      <c r="J790" s="20"/>
    </row>
    <row r="791" customFormat="false" ht="15" hidden="false" customHeight="false" outlineLevel="0" collapsed="false">
      <c r="E791" s="20"/>
      <c r="F791" s="20"/>
      <c r="H791" s="20"/>
      <c r="I791" s="20"/>
      <c r="J791" s="20"/>
    </row>
    <row r="792" customFormat="false" ht="15" hidden="false" customHeight="false" outlineLevel="0" collapsed="false">
      <c r="E792" s="20"/>
      <c r="F792" s="20"/>
      <c r="H792" s="20"/>
      <c r="I792" s="20"/>
      <c r="J792" s="20"/>
    </row>
    <row r="793" customFormat="false" ht="15" hidden="false" customHeight="false" outlineLevel="0" collapsed="false">
      <c r="E793" s="20"/>
      <c r="F793" s="20"/>
      <c r="H793" s="20"/>
      <c r="I793" s="20"/>
      <c r="J793" s="20"/>
    </row>
    <row r="794" customFormat="false" ht="15" hidden="false" customHeight="false" outlineLevel="0" collapsed="false">
      <c r="E794" s="20"/>
      <c r="F794" s="20"/>
      <c r="H794" s="20"/>
      <c r="I794" s="20"/>
      <c r="J794" s="20"/>
    </row>
    <row r="795" customFormat="false" ht="15" hidden="false" customHeight="false" outlineLevel="0" collapsed="false">
      <c r="E795" s="20"/>
      <c r="F795" s="20"/>
      <c r="H795" s="20"/>
      <c r="I795" s="20"/>
      <c r="J795" s="20"/>
    </row>
    <row r="796" customFormat="false" ht="15" hidden="false" customHeight="false" outlineLevel="0" collapsed="false">
      <c r="E796" s="20"/>
      <c r="F796" s="20"/>
      <c r="H796" s="20"/>
      <c r="I796" s="20"/>
      <c r="J796" s="20"/>
    </row>
    <row r="797" customFormat="false" ht="15" hidden="false" customHeight="false" outlineLevel="0" collapsed="false">
      <c r="E797" s="20"/>
      <c r="F797" s="20"/>
      <c r="H797" s="20"/>
      <c r="I797" s="20"/>
      <c r="J797" s="20"/>
    </row>
    <row r="798" customFormat="false" ht="15" hidden="false" customHeight="false" outlineLevel="0" collapsed="false">
      <c r="E798" s="20"/>
      <c r="F798" s="20"/>
      <c r="H798" s="20"/>
      <c r="I798" s="20"/>
      <c r="J798" s="20"/>
    </row>
    <row r="799" customFormat="false" ht="15" hidden="false" customHeight="false" outlineLevel="0" collapsed="false">
      <c r="E799" s="20"/>
      <c r="F799" s="20"/>
      <c r="H799" s="20"/>
      <c r="I799" s="20"/>
      <c r="J799" s="20"/>
    </row>
    <row r="800" customFormat="false" ht="15" hidden="false" customHeight="false" outlineLevel="0" collapsed="false">
      <c r="E800" s="20"/>
      <c r="F800" s="20"/>
      <c r="H800" s="20"/>
      <c r="I800" s="20"/>
      <c r="J800" s="20"/>
    </row>
    <row r="801" customFormat="false" ht="15" hidden="false" customHeight="false" outlineLevel="0" collapsed="false">
      <c r="E801" s="20"/>
      <c r="F801" s="20"/>
      <c r="H801" s="20"/>
      <c r="I801" s="20"/>
      <c r="J801" s="20"/>
    </row>
    <row r="802" customFormat="false" ht="15" hidden="false" customHeight="false" outlineLevel="0" collapsed="false">
      <c r="E802" s="20"/>
      <c r="F802" s="20"/>
      <c r="H802" s="20"/>
      <c r="I802" s="20"/>
      <c r="J802" s="20"/>
    </row>
    <row r="803" customFormat="false" ht="15" hidden="false" customHeight="false" outlineLevel="0" collapsed="false">
      <c r="E803" s="20"/>
      <c r="F803" s="20"/>
      <c r="H803" s="20"/>
      <c r="I803" s="20"/>
      <c r="J803" s="20"/>
    </row>
    <row r="804" customFormat="false" ht="15" hidden="false" customHeight="false" outlineLevel="0" collapsed="false">
      <c r="E804" s="20"/>
      <c r="F804" s="20"/>
      <c r="H804" s="20"/>
      <c r="I804" s="20"/>
      <c r="J804" s="20"/>
    </row>
    <row r="805" customFormat="false" ht="15" hidden="false" customHeight="false" outlineLevel="0" collapsed="false">
      <c r="E805" s="20"/>
      <c r="F805" s="20"/>
      <c r="H805" s="20"/>
      <c r="I805" s="20"/>
      <c r="J805" s="20"/>
    </row>
    <row r="806" customFormat="false" ht="15" hidden="false" customHeight="false" outlineLevel="0" collapsed="false">
      <c r="E806" s="20"/>
      <c r="F806" s="20"/>
      <c r="H806" s="20"/>
      <c r="I806" s="20"/>
      <c r="J806" s="20"/>
    </row>
    <row r="807" customFormat="false" ht="15" hidden="false" customHeight="false" outlineLevel="0" collapsed="false">
      <c r="E807" s="20"/>
      <c r="F807" s="20"/>
      <c r="H807" s="20"/>
      <c r="I807" s="20"/>
      <c r="J807" s="20"/>
    </row>
    <row r="808" customFormat="false" ht="15" hidden="false" customHeight="false" outlineLevel="0" collapsed="false">
      <c r="E808" s="20"/>
      <c r="F808" s="20"/>
      <c r="H808" s="20"/>
      <c r="I808" s="20"/>
      <c r="J808" s="20"/>
    </row>
    <row r="809" customFormat="false" ht="15" hidden="false" customHeight="false" outlineLevel="0" collapsed="false">
      <c r="E809" s="20"/>
      <c r="F809" s="20"/>
      <c r="H809" s="20"/>
      <c r="I809" s="20"/>
      <c r="J809" s="20"/>
    </row>
    <row r="810" customFormat="false" ht="15" hidden="false" customHeight="false" outlineLevel="0" collapsed="false">
      <c r="E810" s="20"/>
      <c r="F810" s="20"/>
      <c r="H810" s="20"/>
      <c r="I810" s="20"/>
      <c r="J810" s="20"/>
    </row>
    <row r="811" customFormat="false" ht="15" hidden="false" customHeight="false" outlineLevel="0" collapsed="false">
      <c r="E811" s="20"/>
      <c r="F811" s="20"/>
      <c r="H811" s="20"/>
      <c r="I811" s="20"/>
      <c r="J811" s="20"/>
    </row>
    <row r="812" customFormat="false" ht="15" hidden="false" customHeight="false" outlineLevel="0" collapsed="false">
      <c r="E812" s="20"/>
      <c r="F812" s="20"/>
      <c r="H812" s="20"/>
      <c r="I812" s="20"/>
      <c r="J812" s="20"/>
    </row>
    <row r="813" customFormat="false" ht="15" hidden="false" customHeight="false" outlineLevel="0" collapsed="false">
      <c r="E813" s="20"/>
      <c r="F813" s="20"/>
      <c r="H813" s="20"/>
      <c r="I813" s="20"/>
      <c r="J813" s="20"/>
    </row>
    <row r="814" customFormat="false" ht="15" hidden="false" customHeight="false" outlineLevel="0" collapsed="false">
      <c r="E814" s="20"/>
      <c r="F814" s="20"/>
      <c r="H814" s="20"/>
      <c r="I814" s="20"/>
      <c r="J814" s="20"/>
    </row>
    <row r="815" customFormat="false" ht="15" hidden="false" customHeight="false" outlineLevel="0" collapsed="false">
      <c r="E815" s="20"/>
      <c r="F815" s="20"/>
      <c r="H815" s="20"/>
      <c r="I815" s="20"/>
      <c r="J815" s="20"/>
    </row>
    <row r="816" customFormat="false" ht="15" hidden="false" customHeight="false" outlineLevel="0" collapsed="false">
      <c r="E816" s="20"/>
      <c r="F816" s="20"/>
      <c r="H816" s="20"/>
      <c r="I816" s="20"/>
      <c r="J816" s="20"/>
    </row>
    <row r="817" customFormat="false" ht="15" hidden="false" customHeight="false" outlineLevel="0" collapsed="false">
      <c r="E817" s="20"/>
      <c r="F817" s="20"/>
      <c r="H817" s="20"/>
      <c r="I817" s="20"/>
      <c r="J817" s="20"/>
    </row>
    <row r="818" customFormat="false" ht="15" hidden="false" customHeight="false" outlineLevel="0" collapsed="false">
      <c r="E818" s="20"/>
      <c r="F818" s="20"/>
      <c r="H818" s="20"/>
      <c r="I818" s="20"/>
      <c r="J818" s="20"/>
    </row>
    <row r="819" customFormat="false" ht="15" hidden="false" customHeight="false" outlineLevel="0" collapsed="false">
      <c r="E819" s="20"/>
      <c r="F819" s="20"/>
      <c r="H819" s="20"/>
      <c r="I819" s="20"/>
      <c r="J819" s="20"/>
    </row>
    <row r="820" customFormat="false" ht="15" hidden="false" customHeight="false" outlineLevel="0" collapsed="false">
      <c r="E820" s="20"/>
      <c r="F820" s="20"/>
      <c r="H820" s="20"/>
      <c r="I820" s="20"/>
      <c r="J820" s="20"/>
    </row>
    <row r="821" customFormat="false" ht="15" hidden="false" customHeight="false" outlineLevel="0" collapsed="false">
      <c r="E821" s="20"/>
      <c r="F821" s="20"/>
      <c r="H821" s="20"/>
      <c r="I821" s="20"/>
      <c r="J821" s="20"/>
    </row>
    <row r="822" customFormat="false" ht="15" hidden="false" customHeight="false" outlineLevel="0" collapsed="false">
      <c r="E822" s="20"/>
      <c r="F822" s="20"/>
      <c r="H822" s="20"/>
      <c r="I822" s="20"/>
      <c r="J822" s="20"/>
    </row>
    <row r="823" customFormat="false" ht="15" hidden="false" customHeight="false" outlineLevel="0" collapsed="false">
      <c r="E823" s="20"/>
      <c r="F823" s="20"/>
      <c r="H823" s="20"/>
      <c r="I823" s="20"/>
      <c r="J823" s="20"/>
    </row>
    <row r="824" customFormat="false" ht="15" hidden="false" customHeight="false" outlineLevel="0" collapsed="false">
      <c r="E824" s="20"/>
      <c r="F824" s="20"/>
      <c r="H824" s="20"/>
      <c r="I824" s="20"/>
      <c r="J824" s="20"/>
    </row>
    <row r="825" customFormat="false" ht="15" hidden="false" customHeight="false" outlineLevel="0" collapsed="false">
      <c r="E825" s="20"/>
      <c r="F825" s="20"/>
      <c r="H825" s="20"/>
      <c r="I825" s="20"/>
      <c r="J825" s="20"/>
    </row>
    <row r="826" customFormat="false" ht="15" hidden="false" customHeight="false" outlineLevel="0" collapsed="false">
      <c r="E826" s="20"/>
      <c r="F826" s="20"/>
      <c r="H826" s="20"/>
      <c r="I826" s="20"/>
      <c r="J826" s="20"/>
    </row>
    <row r="827" customFormat="false" ht="15" hidden="false" customHeight="false" outlineLevel="0" collapsed="false">
      <c r="E827" s="20"/>
      <c r="F827" s="20"/>
      <c r="H827" s="20"/>
      <c r="I827" s="20"/>
      <c r="J827" s="20"/>
    </row>
    <row r="828" customFormat="false" ht="15" hidden="false" customHeight="false" outlineLevel="0" collapsed="false">
      <c r="E828" s="20"/>
      <c r="F828" s="20"/>
      <c r="H828" s="20"/>
      <c r="I828" s="20"/>
      <c r="J828" s="20"/>
    </row>
    <row r="829" customFormat="false" ht="15" hidden="false" customHeight="false" outlineLevel="0" collapsed="false">
      <c r="E829" s="20"/>
      <c r="F829" s="20"/>
      <c r="H829" s="20"/>
      <c r="I829" s="20"/>
      <c r="J829" s="20"/>
    </row>
    <row r="830" customFormat="false" ht="15" hidden="false" customHeight="false" outlineLevel="0" collapsed="false">
      <c r="E830" s="20"/>
      <c r="F830" s="20"/>
      <c r="H830" s="20"/>
      <c r="I830" s="20"/>
      <c r="J830" s="20"/>
    </row>
    <row r="831" customFormat="false" ht="15" hidden="false" customHeight="false" outlineLevel="0" collapsed="false">
      <c r="E831" s="20"/>
      <c r="F831" s="20"/>
      <c r="H831" s="20"/>
      <c r="I831" s="20"/>
      <c r="J831" s="20"/>
    </row>
    <row r="832" customFormat="false" ht="15" hidden="false" customHeight="false" outlineLevel="0" collapsed="false">
      <c r="E832" s="20"/>
      <c r="F832" s="20"/>
      <c r="H832" s="20"/>
      <c r="I832" s="20"/>
      <c r="J832" s="20"/>
    </row>
    <row r="833" customFormat="false" ht="15" hidden="false" customHeight="false" outlineLevel="0" collapsed="false">
      <c r="E833" s="20"/>
      <c r="F833" s="20"/>
      <c r="H833" s="20"/>
      <c r="I833" s="20"/>
      <c r="J833" s="20"/>
    </row>
    <row r="834" customFormat="false" ht="15" hidden="false" customHeight="false" outlineLevel="0" collapsed="false">
      <c r="E834" s="20"/>
      <c r="F834" s="20"/>
      <c r="H834" s="20"/>
      <c r="I834" s="20"/>
      <c r="J834" s="20"/>
    </row>
    <row r="835" customFormat="false" ht="15" hidden="false" customHeight="false" outlineLevel="0" collapsed="false">
      <c r="E835" s="20"/>
      <c r="F835" s="20"/>
      <c r="H835" s="20"/>
      <c r="I835" s="20"/>
      <c r="J835" s="20"/>
    </row>
    <row r="836" customFormat="false" ht="15" hidden="false" customHeight="false" outlineLevel="0" collapsed="false">
      <c r="E836" s="20"/>
      <c r="F836" s="20"/>
      <c r="H836" s="20"/>
      <c r="I836" s="20"/>
      <c r="J836" s="20"/>
    </row>
    <row r="837" customFormat="false" ht="15" hidden="false" customHeight="false" outlineLevel="0" collapsed="false">
      <c r="E837" s="20"/>
      <c r="F837" s="20"/>
      <c r="H837" s="20"/>
      <c r="I837" s="20"/>
      <c r="J837" s="20"/>
    </row>
    <row r="838" customFormat="false" ht="15" hidden="false" customHeight="false" outlineLevel="0" collapsed="false">
      <c r="E838" s="20"/>
      <c r="F838" s="20"/>
      <c r="H838" s="20"/>
      <c r="I838" s="20"/>
      <c r="J838" s="20"/>
    </row>
    <row r="839" customFormat="false" ht="15" hidden="false" customHeight="false" outlineLevel="0" collapsed="false">
      <c r="E839" s="20"/>
      <c r="F839" s="20"/>
      <c r="H839" s="20"/>
      <c r="I839" s="20"/>
      <c r="J839" s="20"/>
    </row>
    <row r="840" customFormat="false" ht="15" hidden="false" customHeight="false" outlineLevel="0" collapsed="false">
      <c r="E840" s="20"/>
      <c r="F840" s="20"/>
      <c r="H840" s="20"/>
      <c r="I840" s="20"/>
      <c r="J840" s="20"/>
    </row>
    <row r="841" customFormat="false" ht="15" hidden="false" customHeight="false" outlineLevel="0" collapsed="false">
      <c r="E841" s="20"/>
      <c r="F841" s="20"/>
      <c r="H841" s="20"/>
      <c r="I841" s="20"/>
      <c r="J841" s="20"/>
    </row>
    <row r="842" customFormat="false" ht="15" hidden="false" customHeight="false" outlineLevel="0" collapsed="false">
      <c r="E842" s="20"/>
      <c r="F842" s="20"/>
      <c r="H842" s="20"/>
      <c r="I842" s="20"/>
      <c r="J842" s="20"/>
    </row>
    <row r="843" customFormat="false" ht="15" hidden="false" customHeight="false" outlineLevel="0" collapsed="false">
      <c r="E843" s="20"/>
      <c r="F843" s="20"/>
      <c r="H843" s="20"/>
      <c r="I843" s="20"/>
      <c r="J843" s="20"/>
    </row>
    <row r="844" customFormat="false" ht="15" hidden="false" customHeight="false" outlineLevel="0" collapsed="false">
      <c r="E844" s="20"/>
      <c r="F844" s="20"/>
      <c r="H844" s="20"/>
      <c r="I844" s="20"/>
      <c r="J844" s="20"/>
    </row>
    <row r="845" customFormat="false" ht="15" hidden="false" customHeight="false" outlineLevel="0" collapsed="false">
      <c r="E845" s="20"/>
      <c r="F845" s="20"/>
      <c r="H845" s="20"/>
      <c r="I845" s="20"/>
      <c r="J845" s="20"/>
    </row>
    <row r="846" customFormat="false" ht="15" hidden="false" customHeight="false" outlineLevel="0" collapsed="false">
      <c r="E846" s="20"/>
      <c r="F846" s="20"/>
      <c r="H846" s="20"/>
      <c r="I846" s="20"/>
      <c r="J846" s="20"/>
    </row>
    <row r="847" customFormat="false" ht="15" hidden="false" customHeight="false" outlineLevel="0" collapsed="false">
      <c r="E847" s="20"/>
      <c r="F847" s="20"/>
      <c r="H847" s="20"/>
      <c r="I847" s="20"/>
      <c r="J847" s="20"/>
    </row>
    <row r="848" customFormat="false" ht="15" hidden="false" customHeight="false" outlineLevel="0" collapsed="false">
      <c r="E848" s="20"/>
      <c r="F848" s="20"/>
      <c r="H848" s="20"/>
      <c r="I848" s="20"/>
      <c r="J848" s="20"/>
    </row>
    <row r="849" customFormat="false" ht="15" hidden="false" customHeight="false" outlineLevel="0" collapsed="false">
      <c r="E849" s="20"/>
      <c r="F849" s="20"/>
      <c r="H849" s="20"/>
      <c r="I849" s="20"/>
      <c r="J849" s="20"/>
    </row>
    <row r="850" customFormat="false" ht="15" hidden="false" customHeight="false" outlineLevel="0" collapsed="false">
      <c r="E850" s="20"/>
      <c r="F850" s="20"/>
      <c r="H850" s="20"/>
      <c r="I850" s="20"/>
      <c r="J850" s="20"/>
    </row>
    <row r="851" customFormat="false" ht="15" hidden="false" customHeight="false" outlineLevel="0" collapsed="false">
      <c r="E851" s="20"/>
      <c r="F851" s="20"/>
      <c r="H851" s="20"/>
      <c r="I851" s="20"/>
      <c r="J851" s="20"/>
    </row>
    <row r="852" customFormat="false" ht="15" hidden="false" customHeight="false" outlineLevel="0" collapsed="false">
      <c r="E852" s="20"/>
      <c r="F852" s="20"/>
      <c r="H852" s="20"/>
      <c r="I852" s="20"/>
      <c r="J852" s="20"/>
    </row>
    <row r="853" customFormat="false" ht="15" hidden="false" customHeight="false" outlineLevel="0" collapsed="false">
      <c r="E853" s="20"/>
      <c r="F853" s="20"/>
      <c r="H853" s="20"/>
      <c r="I853" s="20"/>
      <c r="J853" s="20"/>
    </row>
    <row r="854" customFormat="false" ht="15" hidden="false" customHeight="false" outlineLevel="0" collapsed="false">
      <c r="E854" s="20"/>
      <c r="F854" s="20"/>
      <c r="H854" s="20"/>
      <c r="I854" s="20"/>
      <c r="J854" s="20"/>
    </row>
    <row r="855" customFormat="false" ht="15" hidden="false" customHeight="false" outlineLevel="0" collapsed="false">
      <c r="E855" s="20"/>
      <c r="F855" s="20"/>
      <c r="H855" s="20"/>
      <c r="I855" s="20"/>
      <c r="J855" s="20"/>
    </row>
    <row r="856" customFormat="false" ht="15" hidden="false" customHeight="false" outlineLevel="0" collapsed="false">
      <c r="E856" s="20"/>
      <c r="F856" s="20"/>
      <c r="H856" s="20"/>
      <c r="I856" s="20"/>
      <c r="J856" s="20"/>
    </row>
    <row r="857" customFormat="false" ht="15" hidden="false" customHeight="false" outlineLevel="0" collapsed="false">
      <c r="E857" s="20"/>
      <c r="F857" s="20"/>
      <c r="H857" s="20"/>
      <c r="I857" s="20"/>
      <c r="J857" s="20"/>
    </row>
    <row r="858" customFormat="false" ht="15" hidden="false" customHeight="false" outlineLevel="0" collapsed="false">
      <c r="E858" s="20"/>
      <c r="F858" s="20"/>
      <c r="H858" s="20"/>
      <c r="I858" s="20"/>
      <c r="J858" s="20"/>
    </row>
    <row r="859" customFormat="false" ht="15" hidden="false" customHeight="false" outlineLevel="0" collapsed="false">
      <c r="E859" s="20"/>
      <c r="F859" s="20"/>
      <c r="H859" s="20"/>
      <c r="I859" s="20"/>
      <c r="J859" s="20"/>
    </row>
    <row r="860" customFormat="false" ht="15" hidden="false" customHeight="false" outlineLevel="0" collapsed="false">
      <c r="E860" s="20"/>
      <c r="F860" s="20"/>
      <c r="H860" s="20"/>
      <c r="I860" s="20"/>
      <c r="J860" s="20"/>
    </row>
    <row r="861" customFormat="false" ht="15" hidden="false" customHeight="false" outlineLevel="0" collapsed="false">
      <c r="E861" s="20"/>
      <c r="F861" s="20"/>
      <c r="H861" s="20"/>
      <c r="I861" s="20"/>
      <c r="J861" s="20"/>
    </row>
    <row r="862" customFormat="false" ht="15" hidden="false" customHeight="false" outlineLevel="0" collapsed="false">
      <c r="E862" s="20"/>
      <c r="F862" s="20"/>
      <c r="H862" s="20"/>
      <c r="I862" s="20"/>
      <c r="J862" s="20"/>
    </row>
    <row r="863" customFormat="false" ht="15" hidden="false" customHeight="false" outlineLevel="0" collapsed="false">
      <c r="E863" s="20"/>
      <c r="F863" s="20"/>
      <c r="H863" s="20"/>
      <c r="I863" s="20"/>
      <c r="J863" s="20"/>
    </row>
    <row r="864" customFormat="false" ht="15" hidden="false" customHeight="false" outlineLevel="0" collapsed="false">
      <c r="E864" s="20"/>
      <c r="F864" s="20"/>
      <c r="H864" s="20"/>
      <c r="I864" s="20"/>
      <c r="J864" s="20"/>
    </row>
    <row r="865" customFormat="false" ht="15" hidden="false" customHeight="false" outlineLevel="0" collapsed="false">
      <c r="E865" s="20"/>
      <c r="F865" s="20"/>
      <c r="H865" s="20"/>
      <c r="I865" s="20"/>
      <c r="J865" s="20"/>
    </row>
    <row r="866" customFormat="false" ht="15" hidden="false" customHeight="false" outlineLevel="0" collapsed="false">
      <c r="E866" s="20"/>
      <c r="F866" s="20"/>
      <c r="H866" s="20"/>
      <c r="I866" s="20"/>
      <c r="J866" s="20"/>
    </row>
    <row r="867" customFormat="false" ht="15" hidden="false" customHeight="false" outlineLevel="0" collapsed="false">
      <c r="E867" s="20"/>
      <c r="F867" s="20"/>
      <c r="H867" s="20"/>
      <c r="I867" s="20"/>
      <c r="J867" s="20"/>
    </row>
    <row r="868" customFormat="false" ht="15" hidden="false" customHeight="false" outlineLevel="0" collapsed="false">
      <c r="E868" s="20"/>
      <c r="F868" s="20"/>
      <c r="H868" s="20"/>
      <c r="I868" s="20"/>
      <c r="J868" s="20"/>
    </row>
    <row r="869" customFormat="false" ht="15" hidden="false" customHeight="false" outlineLevel="0" collapsed="false">
      <c r="E869" s="20"/>
      <c r="F869" s="20"/>
      <c r="H869" s="20"/>
      <c r="I869" s="20"/>
      <c r="J869" s="20"/>
    </row>
    <row r="870" customFormat="false" ht="15" hidden="false" customHeight="false" outlineLevel="0" collapsed="false">
      <c r="E870" s="20"/>
      <c r="F870" s="20"/>
      <c r="H870" s="20"/>
      <c r="I870" s="20"/>
      <c r="J870" s="20"/>
    </row>
    <row r="871" customFormat="false" ht="15" hidden="false" customHeight="false" outlineLevel="0" collapsed="false">
      <c r="E871" s="20"/>
      <c r="F871" s="20"/>
      <c r="H871" s="20"/>
      <c r="I871" s="20"/>
      <c r="J871" s="20"/>
    </row>
    <row r="872" customFormat="false" ht="15" hidden="false" customHeight="false" outlineLevel="0" collapsed="false">
      <c r="E872" s="20"/>
      <c r="F872" s="20"/>
      <c r="H872" s="20"/>
      <c r="I872" s="20"/>
      <c r="J872" s="20"/>
    </row>
    <row r="873" customFormat="false" ht="15" hidden="false" customHeight="false" outlineLevel="0" collapsed="false">
      <c r="E873" s="20"/>
      <c r="F873" s="20"/>
      <c r="H873" s="20"/>
      <c r="I873" s="20"/>
      <c r="J873" s="20"/>
    </row>
    <row r="874" customFormat="false" ht="15" hidden="false" customHeight="false" outlineLevel="0" collapsed="false">
      <c r="E874" s="20"/>
      <c r="F874" s="20"/>
      <c r="H874" s="20"/>
      <c r="I874" s="20"/>
      <c r="J874" s="20"/>
    </row>
    <row r="875" customFormat="false" ht="15" hidden="false" customHeight="false" outlineLevel="0" collapsed="false">
      <c r="E875" s="20"/>
      <c r="F875" s="20"/>
      <c r="H875" s="20"/>
      <c r="I875" s="20"/>
      <c r="J875" s="20"/>
    </row>
    <row r="876" customFormat="false" ht="15" hidden="false" customHeight="false" outlineLevel="0" collapsed="false">
      <c r="E876" s="20"/>
      <c r="F876" s="20"/>
      <c r="H876" s="20"/>
      <c r="I876" s="20"/>
      <c r="J876" s="20"/>
    </row>
    <row r="877" customFormat="false" ht="15" hidden="false" customHeight="false" outlineLevel="0" collapsed="false">
      <c r="E877" s="20"/>
      <c r="F877" s="20"/>
      <c r="H877" s="20"/>
      <c r="I877" s="20"/>
      <c r="J877" s="20"/>
    </row>
    <row r="878" customFormat="false" ht="15" hidden="false" customHeight="false" outlineLevel="0" collapsed="false">
      <c r="E878" s="20"/>
      <c r="F878" s="20"/>
      <c r="H878" s="20"/>
      <c r="I878" s="20"/>
      <c r="J878" s="20"/>
    </row>
    <row r="879" customFormat="false" ht="15" hidden="false" customHeight="false" outlineLevel="0" collapsed="false">
      <c r="E879" s="20"/>
      <c r="F879" s="20"/>
      <c r="H879" s="20"/>
      <c r="I879" s="20"/>
      <c r="J879" s="20"/>
    </row>
    <row r="880" customFormat="false" ht="15" hidden="false" customHeight="false" outlineLevel="0" collapsed="false">
      <c r="E880" s="20"/>
      <c r="F880" s="20"/>
      <c r="H880" s="20"/>
      <c r="I880" s="20"/>
      <c r="J880" s="20"/>
    </row>
    <row r="881" customFormat="false" ht="15" hidden="false" customHeight="false" outlineLevel="0" collapsed="false">
      <c r="E881" s="20"/>
      <c r="F881" s="20"/>
      <c r="H881" s="20"/>
      <c r="I881" s="20"/>
      <c r="J881" s="20"/>
    </row>
    <row r="882" customFormat="false" ht="15" hidden="false" customHeight="false" outlineLevel="0" collapsed="false">
      <c r="E882" s="20"/>
      <c r="F882" s="20"/>
      <c r="H882" s="20"/>
      <c r="I882" s="20"/>
      <c r="J882" s="20"/>
    </row>
    <row r="883" customFormat="false" ht="15" hidden="false" customHeight="false" outlineLevel="0" collapsed="false">
      <c r="E883" s="20"/>
      <c r="F883" s="20"/>
      <c r="H883" s="20"/>
      <c r="I883" s="20"/>
      <c r="J883" s="20"/>
    </row>
    <row r="884" customFormat="false" ht="15" hidden="false" customHeight="false" outlineLevel="0" collapsed="false">
      <c r="E884" s="20"/>
      <c r="F884" s="20"/>
      <c r="H884" s="20"/>
      <c r="I884" s="20"/>
      <c r="J884" s="20"/>
    </row>
    <row r="885" customFormat="false" ht="15" hidden="false" customHeight="false" outlineLevel="0" collapsed="false">
      <c r="E885" s="20"/>
      <c r="F885" s="20"/>
      <c r="H885" s="20"/>
      <c r="I885" s="20"/>
      <c r="J885" s="20"/>
    </row>
    <row r="886" customFormat="false" ht="15" hidden="false" customHeight="false" outlineLevel="0" collapsed="false">
      <c r="E886" s="20"/>
      <c r="F886" s="20"/>
      <c r="H886" s="20"/>
      <c r="I886" s="20"/>
      <c r="J886" s="20"/>
    </row>
    <row r="887" customFormat="false" ht="15" hidden="false" customHeight="false" outlineLevel="0" collapsed="false">
      <c r="E887" s="20"/>
      <c r="F887" s="20"/>
      <c r="H887" s="20"/>
      <c r="I887" s="20"/>
      <c r="J887" s="20"/>
    </row>
    <row r="888" customFormat="false" ht="15" hidden="false" customHeight="false" outlineLevel="0" collapsed="false">
      <c r="E888" s="20"/>
      <c r="F888" s="20"/>
      <c r="H888" s="20"/>
      <c r="I888" s="20"/>
      <c r="J888" s="20"/>
    </row>
    <row r="889" customFormat="false" ht="15" hidden="false" customHeight="false" outlineLevel="0" collapsed="false">
      <c r="E889" s="20"/>
      <c r="F889" s="20"/>
      <c r="H889" s="20"/>
      <c r="I889" s="20"/>
      <c r="J889" s="20"/>
    </row>
    <row r="890" customFormat="false" ht="15" hidden="false" customHeight="false" outlineLevel="0" collapsed="false">
      <c r="E890" s="20"/>
      <c r="F890" s="20"/>
      <c r="H890" s="20"/>
      <c r="I890" s="20"/>
      <c r="J890" s="20"/>
    </row>
    <row r="891" customFormat="false" ht="15" hidden="false" customHeight="false" outlineLevel="0" collapsed="false">
      <c r="E891" s="20"/>
      <c r="F891" s="20"/>
      <c r="H891" s="20"/>
      <c r="I891" s="20"/>
      <c r="J891" s="20"/>
    </row>
    <row r="892" customFormat="false" ht="15" hidden="false" customHeight="false" outlineLevel="0" collapsed="false">
      <c r="E892" s="20"/>
      <c r="F892" s="20"/>
      <c r="H892" s="20"/>
      <c r="I892" s="20"/>
      <c r="J892" s="20"/>
    </row>
    <row r="893" customFormat="false" ht="15" hidden="false" customHeight="false" outlineLevel="0" collapsed="false">
      <c r="E893" s="20"/>
      <c r="F893" s="20"/>
      <c r="H893" s="20"/>
      <c r="I893" s="20"/>
      <c r="J893" s="20"/>
    </row>
    <row r="894" customFormat="false" ht="15" hidden="false" customHeight="false" outlineLevel="0" collapsed="false">
      <c r="E894" s="20"/>
      <c r="F894" s="20"/>
      <c r="H894" s="20"/>
      <c r="I894" s="20"/>
      <c r="J894" s="20"/>
    </row>
    <row r="895" customFormat="false" ht="15" hidden="false" customHeight="false" outlineLevel="0" collapsed="false">
      <c r="E895" s="20"/>
      <c r="F895" s="20"/>
      <c r="H895" s="20"/>
      <c r="I895" s="20"/>
      <c r="J895" s="20"/>
    </row>
    <row r="896" customFormat="false" ht="15" hidden="false" customHeight="false" outlineLevel="0" collapsed="false">
      <c r="E896" s="20"/>
      <c r="F896" s="20"/>
      <c r="H896" s="20"/>
      <c r="I896" s="20"/>
      <c r="J896" s="20"/>
    </row>
    <row r="897" customFormat="false" ht="15" hidden="false" customHeight="false" outlineLevel="0" collapsed="false">
      <c r="E897" s="20"/>
      <c r="F897" s="20"/>
      <c r="H897" s="20"/>
      <c r="I897" s="20"/>
      <c r="J897" s="20"/>
    </row>
    <row r="898" customFormat="false" ht="15" hidden="false" customHeight="false" outlineLevel="0" collapsed="false">
      <c r="E898" s="20"/>
      <c r="F898" s="20"/>
      <c r="H898" s="20"/>
      <c r="I898" s="20"/>
      <c r="J898" s="20"/>
    </row>
    <row r="899" customFormat="false" ht="15" hidden="false" customHeight="false" outlineLevel="0" collapsed="false">
      <c r="E899" s="20"/>
      <c r="F899" s="20"/>
      <c r="H899" s="20"/>
      <c r="I899" s="20"/>
      <c r="J899" s="20"/>
    </row>
    <row r="900" customFormat="false" ht="15" hidden="false" customHeight="false" outlineLevel="0" collapsed="false">
      <c r="E900" s="20"/>
      <c r="F900" s="20"/>
      <c r="H900" s="20"/>
      <c r="I900" s="20"/>
      <c r="J900" s="20"/>
    </row>
    <row r="901" customFormat="false" ht="15" hidden="false" customHeight="false" outlineLevel="0" collapsed="false">
      <c r="E901" s="20"/>
      <c r="F901" s="20"/>
      <c r="H901" s="20"/>
      <c r="I901" s="20"/>
      <c r="J901" s="20"/>
    </row>
    <row r="902" customFormat="false" ht="15" hidden="false" customHeight="false" outlineLevel="0" collapsed="false">
      <c r="E902" s="20"/>
      <c r="F902" s="20"/>
      <c r="H902" s="20"/>
      <c r="I902" s="20"/>
      <c r="J902" s="20"/>
    </row>
    <row r="903" customFormat="false" ht="15" hidden="false" customHeight="false" outlineLevel="0" collapsed="false">
      <c r="E903" s="20"/>
      <c r="F903" s="20"/>
      <c r="H903" s="20"/>
      <c r="I903" s="20"/>
      <c r="J903" s="20"/>
    </row>
    <row r="904" customFormat="false" ht="15" hidden="false" customHeight="false" outlineLevel="0" collapsed="false">
      <c r="E904" s="20"/>
      <c r="F904" s="20"/>
      <c r="H904" s="20"/>
      <c r="I904" s="20"/>
      <c r="J904" s="20"/>
    </row>
    <row r="905" customFormat="false" ht="15" hidden="false" customHeight="false" outlineLevel="0" collapsed="false">
      <c r="E905" s="20"/>
      <c r="F905" s="20"/>
      <c r="H905" s="20"/>
      <c r="I905" s="20"/>
      <c r="J905" s="20"/>
    </row>
    <row r="906" customFormat="false" ht="15" hidden="false" customHeight="false" outlineLevel="0" collapsed="false">
      <c r="E906" s="20"/>
      <c r="F906" s="20"/>
      <c r="H906" s="20"/>
      <c r="I906" s="20"/>
      <c r="J906" s="20"/>
    </row>
    <row r="907" customFormat="false" ht="15" hidden="false" customHeight="false" outlineLevel="0" collapsed="false">
      <c r="E907" s="20"/>
      <c r="F907" s="20"/>
      <c r="H907" s="20"/>
      <c r="I907" s="20"/>
      <c r="J907" s="20"/>
    </row>
    <row r="908" customFormat="false" ht="15" hidden="false" customHeight="false" outlineLevel="0" collapsed="false">
      <c r="E908" s="20"/>
      <c r="F908" s="20"/>
      <c r="H908" s="20"/>
      <c r="I908" s="20"/>
      <c r="J908" s="20"/>
    </row>
    <row r="909" customFormat="false" ht="15" hidden="false" customHeight="false" outlineLevel="0" collapsed="false">
      <c r="E909" s="20"/>
      <c r="F909" s="20"/>
      <c r="H909" s="20"/>
      <c r="I909" s="20"/>
      <c r="J909" s="20"/>
    </row>
    <row r="910" customFormat="false" ht="15" hidden="false" customHeight="false" outlineLevel="0" collapsed="false">
      <c r="E910" s="20"/>
      <c r="F910" s="20"/>
      <c r="H910" s="20"/>
      <c r="I910" s="20"/>
      <c r="J910" s="20"/>
    </row>
    <row r="911" customFormat="false" ht="15" hidden="false" customHeight="false" outlineLevel="0" collapsed="false">
      <c r="E911" s="20"/>
      <c r="F911" s="20"/>
      <c r="H911" s="20"/>
      <c r="I911" s="20"/>
      <c r="J911" s="20"/>
    </row>
    <row r="912" customFormat="false" ht="15" hidden="false" customHeight="false" outlineLevel="0" collapsed="false">
      <c r="E912" s="20"/>
      <c r="F912" s="20"/>
      <c r="H912" s="20"/>
      <c r="I912" s="20"/>
      <c r="J912" s="20"/>
    </row>
    <row r="913" customFormat="false" ht="15" hidden="false" customHeight="false" outlineLevel="0" collapsed="false">
      <c r="E913" s="20"/>
      <c r="F913" s="20"/>
      <c r="H913" s="20"/>
      <c r="I913" s="20"/>
      <c r="J913" s="20"/>
    </row>
    <row r="914" customFormat="false" ht="15" hidden="false" customHeight="false" outlineLevel="0" collapsed="false">
      <c r="E914" s="20"/>
      <c r="F914" s="20"/>
      <c r="H914" s="20"/>
      <c r="I914" s="20"/>
      <c r="J914" s="20"/>
    </row>
    <row r="915" customFormat="false" ht="15" hidden="false" customHeight="false" outlineLevel="0" collapsed="false">
      <c r="E915" s="20"/>
      <c r="F915" s="20"/>
      <c r="H915" s="20"/>
      <c r="I915" s="20"/>
      <c r="J915" s="20"/>
    </row>
    <row r="916" customFormat="false" ht="15" hidden="false" customHeight="false" outlineLevel="0" collapsed="false">
      <c r="E916" s="20"/>
      <c r="F916" s="20"/>
      <c r="H916" s="20"/>
      <c r="I916" s="20"/>
      <c r="J916" s="20"/>
    </row>
    <row r="917" customFormat="false" ht="15" hidden="false" customHeight="false" outlineLevel="0" collapsed="false">
      <c r="E917" s="20"/>
      <c r="F917" s="20"/>
      <c r="H917" s="20"/>
      <c r="I917" s="20"/>
      <c r="J917" s="20"/>
    </row>
    <row r="918" customFormat="false" ht="15" hidden="false" customHeight="false" outlineLevel="0" collapsed="false">
      <c r="E918" s="20"/>
      <c r="F918" s="20"/>
      <c r="H918" s="20"/>
      <c r="I918" s="20"/>
      <c r="J918" s="20"/>
    </row>
    <row r="919" customFormat="false" ht="15" hidden="false" customHeight="false" outlineLevel="0" collapsed="false">
      <c r="E919" s="20"/>
      <c r="F919" s="20"/>
      <c r="H919" s="20"/>
      <c r="I919" s="20"/>
      <c r="J919" s="20"/>
    </row>
    <row r="920" customFormat="false" ht="15" hidden="false" customHeight="false" outlineLevel="0" collapsed="false">
      <c r="E920" s="20"/>
      <c r="F920" s="20"/>
      <c r="H920" s="20"/>
      <c r="I920" s="20"/>
      <c r="J920" s="20"/>
    </row>
    <row r="921" customFormat="false" ht="15" hidden="false" customHeight="false" outlineLevel="0" collapsed="false">
      <c r="E921" s="20"/>
      <c r="F921" s="20"/>
      <c r="H921" s="20"/>
      <c r="I921" s="20"/>
      <c r="J921" s="20"/>
    </row>
    <row r="922" customFormat="false" ht="15" hidden="false" customHeight="false" outlineLevel="0" collapsed="false">
      <c r="E922" s="20"/>
      <c r="F922" s="20"/>
      <c r="H922" s="20"/>
      <c r="I922" s="20"/>
      <c r="J922" s="20"/>
    </row>
    <row r="923" customFormat="false" ht="15" hidden="false" customHeight="false" outlineLevel="0" collapsed="false">
      <c r="E923" s="20"/>
      <c r="F923" s="20"/>
      <c r="H923" s="20"/>
      <c r="I923" s="20"/>
      <c r="J923" s="20"/>
    </row>
    <row r="924" customFormat="false" ht="15" hidden="false" customHeight="false" outlineLevel="0" collapsed="false">
      <c r="E924" s="20"/>
      <c r="F924" s="20"/>
      <c r="H924" s="20"/>
      <c r="I924" s="20"/>
      <c r="J924" s="20"/>
    </row>
    <row r="925" customFormat="false" ht="15" hidden="false" customHeight="false" outlineLevel="0" collapsed="false">
      <c r="E925" s="20"/>
      <c r="F925" s="20"/>
      <c r="H925" s="20"/>
      <c r="I925" s="20"/>
      <c r="J925" s="20"/>
    </row>
    <row r="926" customFormat="false" ht="15" hidden="false" customHeight="false" outlineLevel="0" collapsed="false">
      <c r="E926" s="20"/>
      <c r="F926" s="20"/>
      <c r="H926" s="20"/>
      <c r="I926" s="20"/>
      <c r="J926" s="20"/>
    </row>
    <row r="927" customFormat="false" ht="15" hidden="false" customHeight="false" outlineLevel="0" collapsed="false">
      <c r="E927" s="20"/>
      <c r="F927" s="20"/>
      <c r="H927" s="20"/>
      <c r="I927" s="20"/>
      <c r="J927" s="20"/>
    </row>
    <row r="928" customFormat="false" ht="15" hidden="false" customHeight="false" outlineLevel="0" collapsed="false">
      <c r="E928" s="20"/>
      <c r="F928" s="20"/>
      <c r="H928" s="20"/>
      <c r="I928" s="20"/>
      <c r="J928" s="20"/>
    </row>
    <row r="929" customFormat="false" ht="15" hidden="false" customHeight="false" outlineLevel="0" collapsed="false">
      <c r="E929" s="20"/>
      <c r="F929" s="20"/>
      <c r="H929" s="20"/>
      <c r="I929" s="20"/>
      <c r="J929" s="20"/>
    </row>
    <row r="930" customFormat="false" ht="15" hidden="false" customHeight="false" outlineLevel="0" collapsed="false">
      <c r="E930" s="20"/>
      <c r="F930" s="20"/>
      <c r="H930" s="20"/>
      <c r="I930" s="20"/>
      <c r="J930" s="20"/>
    </row>
    <row r="931" customFormat="false" ht="15" hidden="false" customHeight="false" outlineLevel="0" collapsed="false">
      <c r="E931" s="20"/>
      <c r="F931" s="20"/>
      <c r="H931" s="20"/>
      <c r="I931" s="20"/>
      <c r="J931" s="20"/>
    </row>
    <row r="932" customFormat="false" ht="15" hidden="false" customHeight="false" outlineLevel="0" collapsed="false">
      <c r="E932" s="20"/>
      <c r="F932" s="20"/>
      <c r="H932" s="20"/>
      <c r="I932" s="20"/>
      <c r="J932" s="20"/>
    </row>
    <row r="933" customFormat="false" ht="15" hidden="false" customHeight="false" outlineLevel="0" collapsed="false">
      <c r="E933" s="20"/>
      <c r="F933" s="20"/>
      <c r="H933" s="20"/>
      <c r="I933" s="20"/>
      <c r="J933" s="20"/>
    </row>
    <row r="934" customFormat="false" ht="15" hidden="false" customHeight="false" outlineLevel="0" collapsed="false">
      <c r="E934" s="20"/>
      <c r="F934" s="20"/>
      <c r="H934" s="20"/>
      <c r="I934" s="20"/>
      <c r="J934" s="20"/>
    </row>
    <row r="935" customFormat="false" ht="15" hidden="false" customHeight="false" outlineLevel="0" collapsed="false">
      <c r="E935" s="20"/>
      <c r="F935" s="20"/>
      <c r="H935" s="20"/>
      <c r="I935" s="20"/>
      <c r="J935" s="20"/>
    </row>
    <row r="936" customFormat="false" ht="15" hidden="false" customHeight="false" outlineLevel="0" collapsed="false">
      <c r="E936" s="20"/>
      <c r="F936" s="20"/>
      <c r="H936" s="20"/>
      <c r="I936" s="20"/>
      <c r="J936" s="20"/>
    </row>
    <row r="937" customFormat="false" ht="15" hidden="false" customHeight="false" outlineLevel="0" collapsed="false">
      <c r="E937" s="20"/>
      <c r="F937" s="20"/>
      <c r="H937" s="20"/>
      <c r="I937" s="20"/>
      <c r="J937" s="20"/>
    </row>
    <row r="938" customFormat="false" ht="15" hidden="false" customHeight="false" outlineLevel="0" collapsed="false">
      <c r="E938" s="20"/>
      <c r="F938" s="20"/>
      <c r="H938" s="20"/>
      <c r="I938" s="20"/>
      <c r="J938" s="20"/>
    </row>
    <row r="939" customFormat="false" ht="15" hidden="false" customHeight="false" outlineLevel="0" collapsed="false">
      <c r="E939" s="20"/>
      <c r="F939" s="20"/>
      <c r="H939" s="20"/>
      <c r="I939" s="20"/>
      <c r="J939" s="20"/>
    </row>
    <row r="940" customFormat="false" ht="15" hidden="false" customHeight="false" outlineLevel="0" collapsed="false">
      <c r="E940" s="20"/>
      <c r="F940" s="20"/>
      <c r="H940" s="20"/>
      <c r="I940" s="20"/>
      <c r="J940" s="20"/>
    </row>
    <row r="941" customFormat="false" ht="15" hidden="false" customHeight="false" outlineLevel="0" collapsed="false">
      <c r="E941" s="20"/>
      <c r="F941" s="20"/>
      <c r="H941" s="20"/>
      <c r="I941" s="20"/>
      <c r="J941" s="20"/>
    </row>
    <row r="942" customFormat="false" ht="15" hidden="false" customHeight="false" outlineLevel="0" collapsed="false">
      <c r="E942" s="20"/>
      <c r="F942" s="20"/>
      <c r="H942" s="20"/>
      <c r="I942" s="20"/>
      <c r="J942" s="20"/>
    </row>
    <row r="943" customFormat="false" ht="15" hidden="false" customHeight="false" outlineLevel="0" collapsed="false">
      <c r="E943" s="20"/>
      <c r="F943" s="20"/>
      <c r="H943" s="20"/>
      <c r="I943" s="20"/>
      <c r="J943" s="20"/>
    </row>
    <row r="944" customFormat="false" ht="15" hidden="false" customHeight="false" outlineLevel="0" collapsed="false">
      <c r="E944" s="20"/>
      <c r="F944" s="20"/>
      <c r="H944" s="20"/>
      <c r="I944" s="20"/>
      <c r="J944" s="20"/>
    </row>
    <row r="945" customFormat="false" ht="15" hidden="false" customHeight="false" outlineLevel="0" collapsed="false">
      <c r="E945" s="20"/>
      <c r="F945" s="20"/>
      <c r="H945" s="20"/>
      <c r="I945" s="20"/>
      <c r="J945" s="20"/>
    </row>
    <row r="946" customFormat="false" ht="15" hidden="false" customHeight="false" outlineLevel="0" collapsed="false">
      <c r="E946" s="20"/>
      <c r="F946" s="20"/>
      <c r="H946" s="20"/>
      <c r="I946" s="20"/>
      <c r="J946" s="20"/>
    </row>
    <row r="947" customFormat="false" ht="15" hidden="false" customHeight="false" outlineLevel="0" collapsed="false">
      <c r="E947" s="20"/>
      <c r="F947" s="20"/>
      <c r="H947" s="20"/>
      <c r="I947" s="20"/>
      <c r="J947" s="20"/>
    </row>
    <row r="948" customFormat="false" ht="15" hidden="false" customHeight="false" outlineLevel="0" collapsed="false">
      <c r="E948" s="20"/>
      <c r="F948" s="20"/>
      <c r="H948" s="20"/>
      <c r="I948" s="20"/>
      <c r="J948" s="20"/>
    </row>
    <row r="949" customFormat="false" ht="15" hidden="false" customHeight="false" outlineLevel="0" collapsed="false">
      <c r="E949" s="20"/>
      <c r="F949" s="20"/>
      <c r="H949" s="20"/>
      <c r="I949" s="20"/>
      <c r="J949" s="20"/>
    </row>
    <row r="950" customFormat="false" ht="15" hidden="false" customHeight="false" outlineLevel="0" collapsed="false">
      <c r="E950" s="20"/>
      <c r="F950" s="20"/>
      <c r="H950" s="20"/>
      <c r="I950" s="20"/>
      <c r="J950" s="20"/>
    </row>
    <row r="951" customFormat="false" ht="15" hidden="false" customHeight="false" outlineLevel="0" collapsed="false">
      <c r="E951" s="20"/>
      <c r="F951" s="20"/>
      <c r="H951" s="20"/>
      <c r="I951" s="20"/>
      <c r="J951" s="20"/>
    </row>
    <row r="952" customFormat="false" ht="15" hidden="false" customHeight="false" outlineLevel="0" collapsed="false">
      <c r="E952" s="20"/>
      <c r="F952" s="20"/>
      <c r="H952" s="20"/>
      <c r="I952" s="20"/>
      <c r="J952" s="20"/>
    </row>
    <row r="953" customFormat="false" ht="15" hidden="false" customHeight="false" outlineLevel="0" collapsed="false">
      <c r="E953" s="20"/>
      <c r="F953" s="20"/>
      <c r="H953" s="20"/>
      <c r="I953" s="20"/>
      <c r="J953" s="20"/>
    </row>
    <row r="954" customFormat="false" ht="15" hidden="false" customHeight="false" outlineLevel="0" collapsed="false">
      <c r="E954" s="20"/>
      <c r="F954" s="20"/>
      <c r="H954" s="20"/>
      <c r="I954" s="20"/>
      <c r="J954" s="20"/>
    </row>
    <row r="955" customFormat="false" ht="15" hidden="false" customHeight="false" outlineLevel="0" collapsed="false">
      <c r="E955" s="20"/>
      <c r="F955" s="20"/>
      <c r="H955" s="20"/>
      <c r="I955" s="20"/>
      <c r="J955" s="20"/>
    </row>
    <row r="956" customFormat="false" ht="15" hidden="false" customHeight="false" outlineLevel="0" collapsed="false">
      <c r="E956" s="20"/>
      <c r="F956" s="20"/>
      <c r="H956" s="20"/>
      <c r="I956" s="20"/>
      <c r="J956" s="20"/>
    </row>
    <row r="957" customFormat="false" ht="15" hidden="false" customHeight="false" outlineLevel="0" collapsed="false">
      <c r="E957" s="20"/>
      <c r="F957" s="20"/>
      <c r="H957" s="20"/>
      <c r="I957" s="20"/>
      <c r="J957" s="20"/>
    </row>
    <row r="958" customFormat="false" ht="15" hidden="false" customHeight="false" outlineLevel="0" collapsed="false">
      <c r="E958" s="20"/>
      <c r="F958" s="20"/>
      <c r="H958" s="20"/>
      <c r="I958" s="20"/>
      <c r="J958" s="20"/>
    </row>
    <row r="959" customFormat="false" ht="15" hidden="false" customHeight="false" outlineLevel="0" collapsed="false">
      <c r="E959" s="20"/>
      <c r="F959" s="20"/>
      <c r="H959" s="20"/>
      <c r="I959" s="20"/>
      <c r="J959" s="20"/>
    </row>
    <row r="960" customFormat="false" ht="15" hidden="false" customHeight="false" outlineLevel="0" collapsed="false">
      <c r="E960" s="20"/>
      <c r="F960" s="20"/>
      <c r="H960" s="20"/>
      <c r="I960" s="20"/>
      <c r="J960" s="20"/>
    </row>
    <row r="961" customFormat="false" ht="15" hidden="false" customHeight="false" outlineLevel="0" collapsed="false">
      <c r="E961" s="20"/>
      <c r="F961" s="20"/>
      <c r="H961" s="20"/>
      <c r="I961" s="20"/>
      <c r="J961" s="20"/>
    </row>
    <row r="962" customFormat="false" ht="15" hidden="false" customHeight="false" outlineLevel="0" collapsed="false">
      <c r="E962" s="20"/>
      <c r="F962" s="20"/>
      <c r="H962" s="20"/>
      <c r="I962" s="20"/>
      <c r="J962" s="20"/>
    </row>
    <row r="963" customFormat="false" ht="15" hidden="false" customHeight="false" outlineLevel="0" collapsed="false">
      <c r="E963" s="20"/>
      <c r="F963" s="20"/>
      <c r="H963" s="20"/>
      <c r="I963" s="20"/>
      <c r="J963" s="20"/>
    </row>
    <row r="964" customFormat="false" ht="15" hidden="false" customHeight="false" outlineLevel="0" collapsed="false">
      <c r="E964" s="20"/>
      <c r="F964" s="20"/>
      <c r="H964" s="20"/>
      <c r="I964" s="20"/>
      <c r="J964" s="20"/>
    </row>
    <row r="965" customFormat="false" ht="15" hidden="false" customHeight="false" outlineLevel="0" collapsed="false">
      <c r="E965" s="20"/>
      <c r="F965" s="20"/>
      <c r="H965" s="20"/>
      <c r="I965" s="20"/>
      <c r="J965" s="20"/>
    </row>
    <row r="966" customFormat="false" ht="15" hidden="false" customHeight="false" outlineLevel="0" collapsed="false">
      <c r="E966" s="20"/>
      <c r="F966" s="20"/>
      <c r="H966" s="20"/>
      <c r="I966" s="20"/>
      <c r="J966" s="20"/>
    </row>
    <row r="967" customFormat="false" ht="15" hidden="false" customHeight="false" outlineLevel="0" collapsed="false">
      <c r="E967" s="20"/>
      <c r="F967" s="20"/>
      <c r="H967" s="20"/>
      <c r="I967" s="20"/>
      <c r="J967" s="20"/>
    </row>
    <row r="968" customFormat="false" ht="15" hidden="false" customHeight="false" outlineLevel="0" collapsed="false">
      <c r="E968" s="20"/>
      <c r="F968" s="20"/>
      <c r="H968" s="20"/>
      <c r="I968" s="20"/>
      <c r="J968" s="20"/>
    </row>
    <row r="969" customFormat="false" ht="15" hidden="false" customHeight="false" outlineLevel="0" collapsed="false">
      <c r="E969" s="20"/>
      <c r="F969" s="20"/>
      <c r="H969" s="20"/>
      <c r="I969" s="20"/>
      <c r="J969" s="20"/>
    </row>
    <row r="970" customFormat="false" ht="15" hidden="false" customHeight="false" outlineLevel="0" collapsed="false">
      <c r="E970" s="20"/>
      <c r="F970" s="20"/>
      <c r="H970" s="20"/>
      <c r="I970" s="20"/>
      <c r="J970" s="20"/>
    </row>
    <row r="971" customFormat="false" ht="15" hidden="false" customHeight="false" outlineLevel="0" collapsed="false">
      <c r="E971" s="20"/>
      <c r="F971" s="20"/>
      <c r="H971" s="20"/>
      <c r="I971" s="20"/>
      <c r="J971" s="20"/>
    </row>
    <row r="972" customFormat="false" ht="15" hidden="false" customHeight="false" outlineLevel="0" collapsed="false">
      <c r="E972" s="20"/>
      <c r="F972" s="20"/>
      <c r="H972" s="20"/>
      <c r="I972" s="20"/>
      <c r="J972" s="20"/>
    </row>
    <row r="973" customFormat="false" ht="15" hidden="false" customHeight="false" outlineLevel="0" collapsed="false">
      <c r="E973" s="20"/>
      <c r="F973" s="20"/>
      <c r="H973" s="20"/>
      <c r="I973" s="20"/>
      <c r="J973" s="20"/>
    </row>
    <row r="974" customFormat="false" ht="15" hidden="false" customHeight="false" outlineLevel="0" collapsed="false">
      <c r="E974" s="20"/>
      <c r="F974" s="20"/>
      <c r="H974" s="20"/>
      <c r="I974" s="20"/>
      <c r="J974" s="20"/>
    </row>
    <row r="975" customFormat="false" ht="15" hidden="false" customHeight="false" outlineLevel="0" collapsed="false">
      <c r="E975" s="20"/>
      <c r="F975" s="20"/>
      <c r="H975" s="20"/>
      <c r="I975" s="20"/>
      <c r="J975" s="20"/>
    </row>
    <row r="976" customFormat="false" ht="15" hidden="false" customHeight="false" outlineLevel="0" collapsed="false">
      <c r="E976" s="20"/>
      <c r="F976" s="20"/>
      <c r="H976" s="20"/>
      <c r="I976" s="20"/>
      <c r="J976" s="20"/>
    </row>
    <row r="977" customFormat="false" ht="15" hidden="false" customHeight="false" outlineLevel="0" collapsed="false">
      <c r="E977" s="20"/>
      <c r="F977" s="20"/>
      <c r="H977" s="20"/>
      <c r="I977" s="20"/>
      <c r="J977" s="20"/>
    </row>
    <row r="978" customFormat="false" ht="15" hidden="false" customHeight="false" outlineLevel="0" collapsed="false">
      <c r="E978" s="20"/>
      <c r="F978" s="20"/>
      <c r="H978" s="20"/>
      <c r="I978" s="20"/>
      <c r="J978" s="20"/>
    </row>
    <row r="979" customFormat="false" ht="15" hidden="false" customHeight="false" outlineLevel="0" collapsed="false">
      <c r="E979" s="20"/>
      <c r="F979" s="20"/>
      <c r="H979" s="20"/>
      <c r="I979" s="20"/>
      <c r="J979" s="20"/>
    </row>
    <row r="980" customFormat="false" ht="15" hidden="false" customHeight="false" outlineLevel="0" collapsed="false">
      <c r="E980" s="20"/>
      <c r="F980" s="20"/>
      <c r="H980" s="20"/>
      <c r="I980" s="20"/>
      <c r="J980" s="20"/>
    </row>
    <row r="981" customFormat="false" ht="15" hidden="false" customHeight="false" outlineLevel="0" collapsed="false">
      <c r="E981" s="20"/>
      <c r="F981" s="20"/>
      <c r="H981" s="20"/>
      <c r="I981" s="20"/>
      <c r="J981" s="20"/>
    </row>
    <row r="982" customFormat="false" ht="15" hidden="false" customHeight="false" outlineLevel="0" collapsed="false">
      <c r="E982" s="20"/>
      <c r="F982" s="20"/>
      <c r="H982" s="20"/>
      <c r="I982" s="20"/>
      <c r="J982" s="20"/>
    </row>
    <row r="983" customFormat="false" ht="15" hidden="false" customHeight="false" outlineLevel="0" collapsed="false">
      <c r="E983" s="20"/>
      <c r="F983" s="20"/>
      <c r="H983" s="20"/>
      <c r="I983" s="20"/>
      <c r="J983" s="20"/>
    </row>
    <row r="984" customFormat="false" ht="15" hidden="false" customHeight="false" outlineLevel="0" collapsed="false">
      <c r="E984" s="20"/>
      <c r="F984" s="20"/>
      <c r="H984" s="20"/>
      <c r="I984" s="20"/>
      <c r="J984" s="20"/>
    </row>
    <row r="985" customFormat="false" ht="15" hidden="false" customHeight="false" outlineLevel="0" collapsed="false">
      <c r="E985" s="20"/>
      <c r="F985" s="20"/>
      <c r="H985" s="20"/>
      <c r="I985" s="20"/>
      <c r="J985" s="20"/>
    </row>
    <row r="986" customFormat="false" ht="15" hidden="false" customHeight="false" outlineLevel="0" collapsed="false">
      <c r="E986" s="20"/>
      <c r="F986" s="20"/>
      <c r="H986" s="20"/>
      <c r="I986" s="20"/>
      <c r="J986" s="20"/>
    </row>
    <row r="987" customFormat="false" ht="15" hidden="false" customHeight="false" outlineLevel="0" collapsed="false">
      <c r="E987" s="20"/>
      <c r="F987" s="20"/>
      <c r="H987" s="20"/>
      <c r="I987" s="20"/>
      <c r="J987" s="20"/>
    </row>
    <row r="988" customFormat="false" ht="15" hidden="false" customHeight="false" outlineLevel="0" collapsed="false">
      <c r="E988" s="20"/>
      <c r="F988" s="20"/>
      <c r="H988" s="20"/>
      <c r="I988" s="20"/>
      <c r="J988" s="20"/>
    </row>
    <row r="989" customFormat="false" ht="15" hidden="false" customHeight="false" outlineLevel="0" collapsed="false">
      <c r="E989" s="20"/>
      <c r="F989" s="20"/>
      <c r="H989" s="20"/>
      <c r="I989" s="20"/>
      <c r="J989" s="20"/>
    </row>
    <row r="990" customFormat="false" ht="15" hidden="false" customHeight="false" outlineLevel="0" collapsed="false">
      <c r="E990" s="20"/>
      <c r="F990" s="20"/>
      <c r="H990" s="20"/>
      <c r="I990" s="20"/>
      <c r="J990" s="20"/>
    </row>
    <row r="991" customFormat="false" ht="15" hidden="false" customHeight="false" outlineLevel="0" collapsed="false">
      <c r="E991" s="20"/>
      <c r="F991" s="20"/>
      <c r="H991" s="20"/>
      <c r="I991" s="20"/>
      <c r="J991" s="20"/>
    </row>
    <row r="992" customFormat="false" ht="15" hidden="false" customHeight="false" outlineLevel="0" collapsed="false">
      <c r="E992" s="20"/>
      <c r="F992" s="20"/>
      <c r="H992" s="20"/>
      <c r="I992" s="20"/>
      <c r="J992" s="20"/>
    </row>
    <row r="993" customFormat="false" ht="15" hidden="false" customHeight="false" outlineLevel="0" collapsed="false">
      <c r="E993" s="20"/>
      <c r="F993" s="20"/>
      <c r="H993" s="20"/>
      <c r="I993" s="20"/>
      <c r="J993" s="20"/>
    </row>
    <row r="994" customFormat="false" ht="15" hidden="false" customHeight="false" outlineLevel="0" collapsed="false">
      <c r="E994" s="20"/>
      <c r="F994" s="20"/>
      <c r="H994" s="20"/>
      <c r="I994" s="20"/>
      <c r="J994" s="20"/>
    </row>
    <row r="995" customFormat="false" ht="15" hidden="false" customHeight="false" outlineLevel="0" collapsed="false">
      <c r="E995" s="20"/>
      <c r="F995" s="20"/>
      <c r="H995" s="20"/>
      <c r="I995" s="20"/>
      <c r="J995" s="20"/>
    </row>
    <row r="996" customFormat="false" ht="15" hidden="false" customHeight="false" outlineLevel="0" collapsed="false">
      <c r="E996" s="20"/>
      <c r="F996" s="20"/>
      <c r="H996" s="20"/>
      <c r="I996" s="20"/>
      <c r="J996" s="20"/>
    </row>
    <row r="997" customFormat="false" ht="15" hidden="false" customHeight="false" outlineLevel="0" collapsed="false">
      <c r="E997" s="20"/>
      <c r="F997" s="20"/>
      <c r="H997" s="20"/>
      <c r="I997" s="20"/>
      <c r="J997" s="20"/>
    </row>
    <row r="998" customFormat="false" ht="15" hidden="false" customHeight="false" outlineLevel="0" collapsed="false">
      <c r="E998" s="20"/>
      <c r="F998" s="20"/>
      <c r="H998" s="20"/>
      <c r="I998" s="20"/>
      <c r="J998" s="20"/>
    </row>
    <row r="999" customFormat="false" ht="15" hidden="false" customHeight="false" outlineLevel="0" collapsed="false">
      <c r="E999" s="20"/>
      <c r="F999" s="20"/>
      <c r="H999" s="20"/>
      <c r="I999" s="20"/>
      <c r="J999" s="20"/>
    </row>
    <row r="1000" customFormat="false" ht="15" hidden="false" customHeight="false" outlineLevel="0" collapsed="false">
      <c r="E1000" s="20"/>
      <c r="F1000" s="20"/>
      <c r="H1000" s="20"/>
      <c r="I1000" s="20"/>
      <c r="J1000" s="20"/>
    </row>
  </sheetData>
  <autoFilter ref="A1:Z226"/>
  <dataValidations count="5">
    <dataValidation allowBlank="true" errorStyle="stop" operator="between" showDropDown="false" showErrorMessage="false" showInputMessage="false" sqref="E2:E1000" type="list">
      <formula1>"Leader,Planner,Expert,Maker,Checker,Storyteller,Patron,User"</formula1>
      <formula2>0</formula2>
    </dataValidation>
    <dataValidation allowBlank="true" errorStyle="stop" operator="between" showDropDown="false" showErrorMessage="false" showInputMessage="false" sqref="F2:F1000" type="list">
      <formula1>"S,M,L"</formula1>
      <formula2>0</formula2>
    </dataValidation>
    <dataValidation allowBlank="true" errorStyle="stop" operator="between" showDropDown="false" showErrorMessage="false" showInputMessage="false" sqref="H2:H1000" type="list">
      <formula1>"$,₹"</formula1>
      <formula2>0</formula2>
    </dataValidation>
    <dataValidation allowBlank="true" errorStyle="stop" operator="between" showDropDown="false" showErrorMessage="false" showInputMessage="false" sqref="I2:I1000" type="list">
      <formula1>"Open,Locked,Done"</formula1>
      <formula2>0</formula2>
    </dataValidation>
    <dataValidation allowBlank="true" errorStyle="stop" operator="between" showDropDown="false" showErrorMessage="false" showInputMessage="false" sqref="J2:J1000" type="list">
      <formula1>"Online,On ground"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
    <col collapsed="false" customWidth="true" hidden="false" outlineLevel="0" max="3" min="3" style="1" width="32"/>
    <col collapsed="false" customWidth="true" hidden="false" outlineLevel="0" max="4" min="4" style="1" width="46"/>
    <col collapsed="false" customWidth="true" hidden="false" outlineLevel="0" max="5" min="5" style="1" width="5"/>
    <col collapsed="false" customWidth="true" hidden="false" outlineLevel="0" max="6" min="6" style="1" width="9"/>
    <col collapsed="false" customWidth="true" hidden="false" outlineLevel="0" max="7" min="7" style="1" width="7"/>
    <col collapsed="false" customWidth="true" hidden="false" outlineLevel="0" max="8" min="8" style="1" width="10"/>
    <col collapsed="false" customWidth="true" hidden="false" outlineLevel="0" max="9" min="9" style="1" width="44"/>
    <col collapsed="false" customWidth="true" hidden="false" outlineLevel="0" max="10" min="10" style="1" width="14"/>
  </cols>
  <sheetData>
    <row r="1" customFormat="false" ht="31.5" hidden="false" customHeight="true" outlineLevel="0" collapsed="false">
      <c r="A1" s="7" t="s">
        <v>4840</v>
      </c>
      <c r="B1" s="7" t="s">
        <v>358</v>
      </c>
      <c r="C1" s="7" t="s">
        <v>4841</v>
      </c>
      <c r="D1" s="7" t="s">
        <v>1957</v>
      </c>
      <c r="E1" s="7" t="s">
        <v>1959</v>
      </c>
      <c r="F1" s="7" t="s">
        <v>1960</v>
      </c>
      <c r="G1" s="7" t="s">
        <v>49</v>
      </c>
      <c r="H1" s="7" t="s">
        <v>55</v>
      </c>
      <c r="I1" s="7" t="s">
        <v>1963</v>
      </c>
      <c r="J1" s="7" t="s">
        <v>1956</v>
      </c>
    </row>
    <row r="2" customFormat="false" ht="15" hidden="false" customHeight="true" outlineLevel="0" collapsed="false">
      <c r="A2" s="9" t="s">
        <v>1133</v>
      </c>
      <c r="B2" s="9" t="n">
        <v>1</v>
      </c>
      <c r="C2" s="9" t="s">
        <v>4842</v>
      </c>
      <c r="D2" s="9" t="s">
        <v>3568</v>
      </c>
      <c r="E2" s="9" t="s">
        <v>2002</v>
      </c>
      <c r="F2" s="15" t="n">
        <v>400</v>
      </c>
      <c r="G2" s="9" t="s">
        <v>110</v>
      </c>
      <c r="H2" s="9" t="s">
        <v>1977</v>
      </c>
      <c r="I2" s="9" t="s">
        <v>3569</v>
      </c>
      <c r="J2" s="9" t="s">
        <v>3567</v>
      </c>
    </row>
    <row r="3" customFormat="false" ht="15" hidden="false" customHeight="true" outlineLevel="0" collapsed="false">
      <c r="A3" s="9" t="s">
        <v>1133</v>
      </c>
      <c r="B3" s="9" t="n">
        <v>2</v>
      </c>
      <c r="C3" s="9" t="s">
        <v>4843</v>
      </c>
      <c r="D3" s="9" t="s">
        <v>2091</v>
      </c>
      <c r="E3" s="9" t="s">
        <v>2002</v>
      </c>
      <c r="F3" s="11" t="n">
        <v>30</v>
      </c>
      <c r="G3" s="9" t="s">
        <v>73</v>
      </c>
      <c r="H3" s="9" t="s">
        <v>1977</v>
      </c>
      <c r="I3" s="9" t="s">
        <v>2092</v>
      </c>
      <c r="J3" s="9" t="s">
        <v>2090</v>
      </c>
    </row>
    <row r="4" customFormat="false" ht="15" hidden="false" customHeight="true" outlineLevel="0" collapsed="false">
      <c r="A4" s="9" t="s">
        <v>1133</v>
      </c>
      <c r="B4" s="9" t="n">
        <v>3</v>
      </c>
      <c r="C4" s="9" t="s">
        <v>4844</v>
      </c>
      <c r="D4" s="9" t="s">
        <v>2971</v>
      </c>
      <c r="E4" s="9" t="s">
        <v>2002</v>
      </c>
      <c r="F4" s="11" t="n">
        <v>30</v>
      </c>
      <c r="G4" s="9" t="s">
        <v>73</v>
      </c>
      <c r="H4" s="9" t="s">
        <v>1977</v>
      </c>
      <c r="I4" s="9" t="s">
        <v>2972</v>
      </c>
      <c r="J4" s="9" t="s">
        <v>2970</v>
      </c>
    </row>
    <row r="5" customFormat="false" ht="23.25" hidden="false" customHeight="true" outlineLevel="0" collapsed="false">
      <c r="A5" s="9" t="s">
        <v>1133</v>
      </c>
      <c r="B5" s="9" t="n">
        <v>4</v>
      </c>
      <c r="C5" s="9" t="s">
        <v>4845</v>
      </c>
      <c r="D5" s="9" t="s">
        <v>2815</v>
      </c>
      <c r="E5" s="9" t="s">
        <v>2002</v>
      </c>
      <c r="F5" s="11" t="n">
        <v>30</v>
      </c>
      <c r="G5" s="9" t="s">
        <v>73</v>
      </c>
      <c r="H5" s="9" t="s">
        <v>1977</v>
      </c>
      <c r="I5" s="9" t="s">
        <v>2816</v>
      </c>
      <c r="J5" s="9" t="s">
        <v>2814</v>
      </c>
    </row>
    <row r="6" customFormat="false" ht="15" hidden="false" customHeight="true" outlineLevel="0" collapsed="false">
      <c r="A6" s="9" t="s">
        <v>1133</v>
      </c>
      <c r="B6" s="9" t="n">
        <v>5</v>
      </c>
      <c r="C6" s="9" t="s">
        <v>4846</v>
      </c>
      <c r="D6" s="9" t="s">
        <v>3274</v>
      </c>
      <c r="E6" s="9" t="s">
        <v>2002</v>
      </c>
      <c r="F6" s="11" t="n">
        <v>30</v>
      </c>
      <c r="G6" s="9" t="s">
        <v>73</v>
      </c>
      <c r="H6" s="9" t="s">
        <v>1977</v>
      </c>
      <c r="I6" s="9" t="s">
        <v>3275</v>
      </c>
      <c r="J6" s="9" t="s">
        <v>3273</v>
      </c>
    </row>
    <row r="7" customFormat="false" ht="15" hidden="false" customHeight="true" outlineLevel="0" collapsed="false">
      <c r="A7" s="9" t="s">
        <v>1133</v>
      </c>
      <c r="B7" s="9" t="n">
        <v>6</v>
      </c>
      <c r="C7" s="9" t="s">
        <v>4847</v>
      </c>
      <c r="D7" s="9" t="s">
        <v>2262</v>
      </c>
      <c r="E7" s="9" t="s">
        <v>1976</v>
      </c>
      <c r="F7" s="11" t="n">
        <v>50</v>
      </c>
      <c r="G7" s="9" t="s">
        <v>73</v>
      </c>
      <c r="H7" s="9" t="s">
        <v>1977</v>
      </c>
      <c r="I7" s="9" t="s">
        <v>2263</v>
      </c>
      <c r="J7" s="9" t="s">
        <v>2261</v>
      </c>
    </row>
    <row r="8" customFormat="false" ht="23.25" hidden="false" customHeight="true" outlineLevel="0" collapsed="false">
      <c r="A8" s="9" t="s">
        <v>1133</v>
      </c>
      <c r="B8" s="9" t="n">
        <v>7</v>
      </c>
      <c r="C8" s="9" t="s">
        <v>4848</v>
      </c>
      <c r="D8" s="9" t="s">
        <v>4194</v>
      </c>
      <c r="E8" s="9" t="s">
        <v>1976</v>
      </c>
      <c r="F8" s="11" t="n">
        <v>80</v>
      </c>
      <c r="G8" s="9" t="s">
        <v>73</v>
      </c>
      <c r="H8" s="9" t="s">
        <v>2842</v>
      </c>
      <c r="I8" s="9" t="s">
        <v>4196</v>
      </c>
      <c r="J8" s="9" t="s">
        <v>4193</v>
      </c>
    </row>
    <row r="9" customFormat="false" ht="15" hidden="false" customHeight="true" outlineLevel="0" collapsed="false">
      <c r="A9" s="9" t="s">
        <v>1133</v>
      </c>
      <c r="B9" s="9" t="n">
        <v>8</v>
      </c>
      <c r="C9" s="9" t="s">
        <v>4849</v>
      </c>
      <c r="D9" s="9" t="s">
        <v>2616</v>
      </c>
      <c r="E9" s="9" t="s">
        <v>1976</v>
      </c>
      <c r="F9" s="11" t="n">
        <v>80</v>
      </c>
      <c r="G9" s="9" t="s">
        <v>73</v>
      </c>
      <c r="H9" s="9" t="s">
        <v>1977</v>
      </c>
      <c r="I9" s="9" t="s">
        <v>2617</v>
      </c>
      <c r="J9" s="9" t="s">
        <v>2615</v>
      </c>
    </row>
    <row r="10" customFormat="false" ht="15" hidden="false" customHeight="true" outlineLevel="0" collapsed="false">
      <c r="A10" s="9" t="s">
        <v>1133</v>
      </c>
      <c r="B10" s="9" t="n">
        <v>9</v>
      </c>
      <c r="C10" s="9" t="s">
        <v>4850</v>
      </c>
      <c r="D10" s="9" t="s">
        <v>2424</v>
      </c>
      <c r="E10" s="9" t="s">
        <v>1976</v>
      </c>
      <c r="F10" s="15" t="n">
        <v>1500</v>
      </c>
      <c r="G10" s="9" t="s">
        <v>110</v>
      </c>
      <c r="H10" s="9" t="s">
        <v>1977</v>
      </c>
      <c r="I10" s="9" t="s">
        <v>2425</v>
      </c>
      <c r="J10" s="9" t="s">
        <v>2423</v>
      </c>
    </row>
    <row r="11" customFormat="false" ht="15" hidden="false" customHeight="true" outlineLevel="0" collapsed="false">
      <c r="A11" s="9" t="s">
        <v>1133</v>
      </c>
      <c r="B11" s="9" t="n">
        <v>10</v>
      </c>
      <c r="C11" s="9" t="s">
        <v>4851</v>
      </c>
      <c r="D11" s="9" t="s">
        <v>3811</v>
      </c>
      <c r="E11" s="9" t="s">
        <v>1976</v>
      </c>
      <c r="F11" s="15" t="n">
        <v>1500</v>
      </c>
      <c r="G11" s="9" t="s">
        <v>110</v>
      </c>
      <c r="H11" s="9" t="s">
        <v>1977</v>
      </c>
      <c r="I11" s="9" t="s">
        <v>3812</v>
      </c>
      <c r="J11" s="9" t="s">
        <v>3810</v>
      </c>
    </row>
    <row r="12" customFormat="false" ht="15" hidden="false" customHeight="true" outlineLevel="0" collapsed="false">
      <c r="A12" s="9" t="s">
        <v>1133</v>
      </c>
      <c r="B12" s="9" t="n">
        <v>11</v>
      </c>
      <c r="C12" s="9" t="s">
        <v>4852</v>
      </c>
      <c r="D12" s="9" t="s">
        <v>4399</v>
      </c>
      <c r="E12" s="9" t="s">
        <v>1976</v>
      </c>
      <c r="F12" s="11" t="n">
        <v>60</v>
      </c>
      <c r="G12" s="9" t="s">
        <v>73</v>
      </c>
      <c r="H12" s="9" t="s">
        <v>1977</v>
      </c>
      <c r="I12" s="9" t="s">
        <v>4400</v>
      </c>
      <c r="J12" s="9" t="s">
        <v>4398</v>
      </c>
    </row>
    <row r="13" customFormat="false" ht="15" hidden="false" customHeight="true" outlineLevel="0" collapsed="false">
      <c r="A13" s="9" t="s">
        <v>1133</v>
      </c>
      <c r="B13" s="9" t="n">
        <v>12</v>
      </c>
      <c r="C13" s="9" t="s">
        <v>4853</v>
      </c>
      <c r="D13" s="9" t="s">
        <v>4070</v>
      </c>
      <c r="E13" s="9" t="s">
        <v>1976</v>
      </c>
      <c r="F13" s="15" t="n">
        <v>1000</v>
      </c>
      <c r="G13" s="9" t="s">
        <v>110</v>
      </c>
      <c r="H13" s="9" t="s">
        <v>1977</v>
      </c>
      <c r="I13" s="9" t="s">
        <v>4071</v>
      </c>
      <c r="J13" s="9" t="s">
        <v>4007</v>
      </c>
    </row>
    <row r="14" customFormat="false" ht="15" hidden="false" customHeight="true" outlineLevel="0" collapsed="false">
      <c r="A14" s="9" t="s">
        <v>1133</v>
      </c>
      <c r="B14" s="9" t="n">
        <v>13</v>
      </c>
      <c r="C14" s="9" t="s">
        <v>195</v>
      </c>
      <c r="D14" s="9" t="s">
        <v>3402</v>
      </c>
      <c r="E14" s="9" t="s">
        <v>2312</v>
      </c>
      <c r="F14" s="15" t="n">
        <v>5000</v>
      </c>
      <c r="G14" s="9" t="s">
        <v>110</v>
      </c>
      <c r="H14" s="9" t="s">
        <v>2842</v>
      </c>
      <c r="I14" s="9" t="s">
        <v>3404</v>
      </c>
      <c r="J14" s="9" t="s">
        <v>3401</v>
      </c>
    </row>
    <row r="15" customFormat="false" ht="15" hidden="false" customHeight="true" outlineLevel="0" collapsed="false">
      <c r="A15" s="9" t="s">
        <v>1134</v>
      </c>
      <c r="B15" s="9" t="n">
        <v>1</v>
      </c>
      <c r="C15" s="9" t="s">
        <v>195</v>
      </c>
      <c r="D15" s="9" t="s">
        <v>3416</v>
      </c>
      <c r="E15" s="9" t="s">
        <v>2002</v>
      </c>
      <c r="F15" s="15" t="n">
        <v>400</v>
      </c>
      <c r="G15" s="9" t="s">
        <v>110</v>
      </c>
      <c r="H15" s="9" t="s">
        <v>1977</v>
      </c>
      <c r="I15" s="9" t="s">
        <v>3417</v>
      </c>
      <c r="J15" s="9" t="s">
        <v>3415</v>
      </c>
    </row>
    <row r="16" customFormat="false" ht="15" hidden="false" customHeight="true" outlineLevel="0" collapsed="false">
      <c r="A16" s="9" t="s">
        <v>1134</v>
      </c>
      <c r="B16" s="9" t="n">
        <v>2</v>
      </c>
      <c r="C16" s="9" t="s">
        <v>4842</v>
      </c>
      <c r="D16" s="9" t="s">
        <v>3580</v>
      </c>
      <c r="E16" s="9" t="s">
        <v>2002</v>
      </c>
      <c r="F16" s="15" t="n">
        <v>500</v>
      </c>
      <c r="G16" s="9" t="s">
        <v>110</v>
      </c>
      <c r="H16" s="9" t="s">
        <v>1977</v>
      </c>
      <c r="I16" s="9" t="s">
        <v>3581</v>
      </c>
      <c r="J16" s="9" t="s">
        <v>3579</v>
      </c>
    </row>
    <row r="17" customFormat="false" ht="15" hidden="false" customHeight="true" outlineLevel="0" collapsed="false">
      <c r="A17" s="9" t="s">
        <v>1134</v>
      </c>
      <c r="B17" s="9" t="n">
        <v>3</v>
      </c>
      <c r="C17" s="9" t="s">
        <v>4849</v>
      </c>
      <c r="D17" s="9" t="s">
        <v>2602</v>
      </c>
      <c r="E17" s="9" t="s">
        <v>2002</v>
      </c>
      <c r="F17" s="11" t="n">
        <v>30</v>
      </c>
      <c r="G17" s="9" t="s">
        <v>73</v>
      </c>
      <c r="H17" s="9" t="s">
        <v>1977</v>
      </c>
      <c r="I17" s="9" t="s">
        <v>2603</v>
      </c>
      <c r="J17" s="9" t="s">
        <v>2601</v>
      </c>
    </row>
    <row r="18" customFormat="false" ht="15" hidden="false" customHeight="true" outlineLevel="0" collapsed="false">
      <c r="A18" s="9" t="s">
        <v>1134</v>
      </c>
      <c r="B18" s="9" t="n">
        <v>4</v>
      </c>
      <c r="C18" s="9" t="s">
        <v>4844</v>
      </c>
      <c r="D18" s="9" t="s">
        <v>2998</v>
      </c>
      <c r="E18" s="9" t="s">
        <v>2002</v>
      </c>
      <c r="F18" s="11" t="n">
        <v>25</v>
      </c>
      <c r="G18" s="9" t="s">
        <v>73</v>
      </c>
      <c r="H18" s="9" t="s">
        <v>1977</v>
      </c>
      <c r="I18" s="9" t="s">
        <v>2999</v>
      </c>
      <c r="J18" s="9" t="s">
        <v>2997</v>
      </c>
    </row>
    <row r="19" customFormat="false" ht="15" hidden="false" customHeight="true" outlineLevel="0" collapsed="false">
      <c r="A19" s="9" t="s">
        <v>1134</v>
      </c>
      <c r="B19" s="9" t="n">
        <v>5</v>
      </c>
      <c r="C19" s="9" t="s">
        <v>4851</v>
      </c>
      <c r="D19" s="9" t="s">
        <v>3824</v>
      </c>
      <c r="E19" s="9" t="s">
        <v>2002</v>
      </c>
      <c r="F19" s="15" t="n">
        <v>400</v>
      </c>
      <c r="G19" s="9" t="s">
        <v>110</v>
      </c>
      <c r="H19" s="9" t="s">
        <v>1977</v>
      </c>
      <c r="I19" s="9" t="s">
        <v>3825</v>
      </c>
      <c r="J19" s="9" t="s">
        <v>3823</v>
      </c>
    </row>
    <row r="20" customFormat="false" ht="15" hidden="false" customHeight="true" outlineLevel="0" collapsed="false">
      <c r="A20" s="9" t="s">
        <v>1134</v>
      </c>
      <c r="B20" s="9" t="n">
        <v>6</v>
      </c>
      <c r="C20" s="9" t="s">
        <v>4845</v>
      </c>
      <c r="D20" s="9" t="s">
        <v>2829</v>
      </c>
      <c r="E20" s="9" t="s">
        <v>2002</v>
      </c>
      <c r="F20" s="11" t="n">
        <v>25</v>
      </c>
      <c r="G20" s="9" t="s">
        <v>73</v>
      </c>
      <c r="H20" s="9" t="s">
        <v>1977</v>
      </c>
      <c r="I20" s="9" t="s">
        <v>2830</v>
      </c>
      <c r="J20" s="9" t="s">
        <v>2828</v>
      </c>
    </row>
    <row r="21" customFormat="false" ht="15" hidden="false" customHeight="true" outlineLevel="0" collapsed="false">
      <c r="A21" s="9" t="s">
        <v>1134</v>
      </c>
      <c r="B21" s="9" t="n">
        <v>7</v>
      </c>
      <c r="C21" s="9" t="s">
        <v>4852</v>
      </c>
      <c r="D21" s="9" t="s">
        <v>4360</v>
      </c>
      <c r="E21" s="9" t="s">
        <v>2002</v>
      </c>
      <c r="F21" s="11" t="n">
        <v>30</v>
      </c>
      <c r="G21" s="9" t="s">
        <v>73</v>
      </c>
      <c r="H21" s="9" t="s">
        <v>1977</v>
      </c>
      <c r="I21" s="9" t="s">
        <v>4361</v>
      </c>
      <c r="J21" s="9" t="s">
        <v>4359</v>
      </c>
    </row>
    <row r="22" customFormat="false" ht="15" hidden="false" customHeight="true" outlineLevel="0" collapsed="false">
      <c r="A22" s="9" t="s">
        <v>1134</v>
      </c>
      <c r="B22" s="9" t="n">
        <v>8</v>
      </c>
      <c r="C22" s="9" t="s">
        <v>4853</v>
      </c>
      <c r="D22" s="9" t="s">
        <v>4084</v>
      </c>
      <c r="E22" s="9" t="s">
        <v>2002</v>
      </c>
      <c r="F22" s="15" t="n">
        <v>400</v>
      </c>
      <c r="G22" s="9" t="s">
        <v>110</v>
      </c>
      <c r="H22" s="9" t="s">
        <v>1977</v>
      </c>
      <c r="I22" s="9" t="s">
        <v>4085</v>
      </c>
      <c r="J22" s="9" t="s">
        <v>4083</v>
      </c>
    </row>
    <row r="23" customFormat="false" ht="15" hidden="false" customHeight="true" outlineLevel="0" collapsed="false">
      <c r="A23" s="9" t="s">
        <v>1134</v>
      </c>
      <c r="B23" s="9" t="n">
        <v>9</v>
      </c>
      <c r="C23" s="9" t="s">
        <v>4846</v>
      </c>
      <c r="D23" s="9" t="s">
        <v>3224</v>
      </c>
      <c r="E23" s="9" t="s">
        <v>2002</v>
      </c>
      <c r="F23" s="11" t="n">
        <v>30</v>
      </c>
      <c r="G23" s="9" t="s">
        <v>73</v>
      </c>
      <c r="H23" s="9" t="s">
        <v>1977</v>
      </c>
      <c r="I23" s="9" t="s">
        <v>3225</v>
      </c>
      <c r="J23" s="9" t="s">
        <v>3223</v>
      </c>
    </row>
    <row r="24" customFormat="false" ht="15" hidden="false" customHeight="true" outlineLevel="0" collapsed="false">
      <c r="A24" s="9" t="s">
        <v>1134</v>
      </c>
      <c r="B24" s="9" t="n">
        <v>10</v>
      </c>
      <c r="C24" s="9" t="s">
        <v>4847</v>
      </c>
      <c r="D24" s="9" t="s">
        <v>2275</v>
      </c>
      <c r="E24" s="9" t="s">
        <v>1976</v>
      </c>
      <c r="F24" s="11" t="n">
        <v>60</v>
      </c>
      <c r="G24" s="9" t="s">
        <v>73</v>
      </c>
      <c r="H24" s="9" t="s">
        <v>1977</v>
      </c>
      <c r="I24" s="9" t="s">
        <v>2276</v>
      </c>
      <c r="J24" s="9" t="s">
        <v>2274</v>
      </c>
    </row>
    <row r="25" customFormat="false" ht="15" hidden="false" customHeight="true" outlineLevel="0" collapsed="false">
      <c r="A25" s="9" t="s">
        <v>1134</v>
      </c>
      <c r="B25" s="9" t="n">
        <v>11</v>
      </c>
      <c r="C25" s="9" t="s">
        <v>4848</v>
      </c>
      <c r="D25" s="9" t="s">
        <v>4170</v>
      </c>
      <c r="E25" s="9" t="s">
        <v>1976</v>
      </c>
      <c r="F25" s="11" t="n">
        <v>60</v>
      </c>
      <c r="G25" s="9" t="s">
        <v>73</v>
      </c>
      <c r="H25" s="9" t="s">
        <v>1977</v>
      </c>
      <c r="I25" s="9" t="s">
        <v>4171</v>
      </c>
      <c r="J25" s="9" t="s">
        <v>4169</v>
      </c>
    </row>
    <row r="26" customFormat="false" ht="15" hidden="false" customHeight="true" outlineLevel="0" collapsed="false">
      <c r="A26" s="9" t="s">
        <v>1134</v>
      </c>
      <c r="B26" s="9" t="n">
        <v>12</v>
      </c>
      <c r="C26" s="9" t="s">
        <v>4843</v>
      </c>
      <c r="D26" s="9" t="s">
        <v>2106</v>
      </c>
      <c r="E26" s="9" t="s">
        <v>1976</v>
      </c>
      <c r="F26" s="11" t="n">
        <v>60</v>
      </c>
      <c r="G26" s="9" t="s">
        <v>73</v>
      </c>
      <c r="H26" s="9" t="s">
        <v>1977</v>
      </c>
      <c r="I26" s="9" t="s">
        <v>2107</v>
      </c>
      <c r="J26" s="9" t="s">
        <v>2105</v>
      </c>
    </row>
    <row r="27" customFormat="false" ht="15" hidden="false" customHeight="true" outlineLevel="0" collapsed="false">
      <c r="A27" s="9" t="s">
        <v>1134</v>
      </c>
      <c r="B27" s="9" t="n">
        <v>13</v>
      </c>
      <c r="C27" s="9" t="s">
        <v>4850</v>
      </c>
      <c r="D27" s="9" t="s">
        <v>2452</v>
      </c>
      <c r="E27" s="9" t="s">
        <v>1976</v>
      </c>
      <c r="F27" s="15" t="n">
        <v>1500</v>
      </c>
      <c r="G27" s="9" t="s">
        <v>110</v>
      </c>
      <c r="H27" s="9" t="s">
        <v>1977</v>
      </c>
      <c r="I27" s="9" t="s">
        <v>2453</v>
      </c>
      <c r="J27" s="9" t="s">
        <v>2451</v>
      </c>
    </row>
    <row r="28" customFormat="false" ht="23.25" hidden="false" customHeight="true" outlineLevel="0" collapsed="false">
      <c r="A28" s="9" t="s">
        <v>1135</v>
      </c>
      <c r="B28" s="9" t="n">
        <v>1</v>
      </c>
      <c r="C28" s="9" t="s">
        <v>4847</v>
      </c>
      <c r="D28" s="9" t="s">
        <v>2188</v>
      </c>
      <c r="E28" s="9" t="s">
        <v>2002</v>
      </c>
      <c r="F28" s="11" t="n">
        <v>15</v>
      </c>
      <c r="G28" s="9" t="s">
        <v>73</v>
      </c>
      <c r="H28" s="9" t="s">
        <v>1977</v>
      </c>
      <c r="I28" s="9" t="s">
        <v>2189</v>
      </c>
      <c r="J28" s="9" t="s">
        <v>2187</v>
      </c>
    </row>
    <row r="29" customFormat="false" ht="15" hidden="false" customHeight="true" outlineLevel="0" collapsed="false">
      <c r="A29" s="9" t="s">
        <v>1135</v>
      </c>
      <c r="B29" s="9" t="n">
        <v>2</v>
      </c>
      <c r="C29" s="9" t="s">
        <v>4847</v>
      </c>
      <c r="D29" s="9" t="s">
        <v>2202</v>
      </c>
      <c r="E29" s="9" t="s">
        <v>2002</v>
      </c>
      <c r="F29" s="11" t="n">
        <v>15</v>
      </c>
      <c r="G29" s="9" t="s">
        <v>73</v>
      </c>
      <c r="H29" s="9" t="s">
        <v>1977</v>
      </c>
      <c r="I29" s="9" t="s">
        <v>2203</v>
      </c>
      <c r="J29" s="9" t="s">
        <v>2201</v>
      </c>
    </row>
    <row r="30" customFormat="false" ht="15" hidden="false" customHeight="true" outlineLevel="0" collapsed="false">
      <c r="A30" s="9" t="s">
        <v>1135</v>
      </c>
      <c r="B30" s="9" t="n">
        <v>3</v>
      </c>
      <c r="C30" s="9" t="s">
        <v>195</v>
      </c>
      <c r="D30" s="9" t="s">
        <v>3347</v>
      </c>
      <c r="E30" s="9" t="s">
        <v>2002</v>
      </c>
      <c r="F30" s="15" t="n">
        <v>400</v>
      </c>
      <c r="G30" s="9" t="s">
        <v>110</v>
      </c>
      <c r="H30" s="9" t="s">
        <v>1977</v>
      </c>
      <c r="I30" s="9" t="s">
        <v>3348</v>
      </c>
      <c r="J30" s="9" t="s">
        <v>3346</v>
      </c>
    </row>
    <row r="31" customFormat="false" ht="15" hidden="false" customHeight="true" outlineLevel="0" collapsed="false">
      <c r="A31" s="9" t="s">
        <v>1135</v>
      </c>
      <c r="B31" s="9" t="n">
        <v>4</v>
      </c>
      <c r="C31" s="9" t="s">
        <v>4842</v>
      </c>
      <c r="D31" s="9" t="s">
        <v>3605</v>
      </c>
      <c r="E31" s="9" t="s">
        <v>2002</v>
      </c>
      <c r="F31" s="15" t="n">
        <v>500</v>
      </c>
      <c r="G31" s="9" t="s">
        <v>110</v>
      </c>
      <c r="H31" s="9" t="s">
        <v>1977</v>
      </c>
      <c r="I31" s="9" t="s">
        <v>3607</v>
      </c>
      <c r="J31" s="9" t="s">
        <v>3604</v>
      </c>
    </row>
    <row r="32" customFormat="false" ht="23.25" hidden="false" customHeight="true" outlineLevel="0" collapsed="false">
      <c r="A32" s="9" t="s">
        <v>1135</v>
      </c>
      <c r="B32" s="9" t="n">
        <v>5</v>
      </c>
      <c r="C32" s="9" t="s">
        <v>4848</v>
      </c>
      <c r="D32" s="9" t="s">
        <v>4182</v>
      </c>
      <c r="E32" s="9" t="s">
        <v>2002</v>
      </c>
      <c r="F32" s="11" t="n">
        <v>30</v>
      </c>
      <c r="G32" s="9" t="s">
        <v>73</v>
      </c>
      <c r="H32" s="9" t="s">
        <v>1977</v>
      </c>
      <c r="I32" s="9" t="s">
        <v>4183</v>
      </c>
      <c r="J32" s="9" t="s">
        <v>4181</v>
      </c>
    </row>
    <row r="33" customFormat="false" ht="15" hidden="false" customHeight="true" outlineLevel="0" collapsed="false">
      <c r="A33" s="9" t="s">
        <v>1135</v>
      </c>
      <c r="B33" s="9" t="n">
        <v>6</v>
      </c>
      <c r="C33" s="9" t="s">
        <v>4844</v>
      </c>
      <c r="D33" s="9" t="s">
        <v>3020</v>
      </c>
      <c r="E33" s="9" t="s">
        <v>2002</v>
      </c>
      <c r="F33" s="11" t="n">
        <v>30</v>
      </c>
      <c r="G33" s="9" t="s">
        <v>73</v>
      </c>
      <c r="H33" s="9" t="s">
        <v>1977</v>
      </c>
      <c r="I33" s="9" t="s">
        <v>3021</v>
      </c>
      <c r="J33" s="9" t="s">
        <v>3019</v>
      </c>
    </row>
    <row r="34" customFormat="false" ht="15" hidden="false" customHeight="true" outlineLevel="0" collapsed="false">
      <c r="A34" s="9" t="s">
        <v>1135</v>
      </c>
      <c r="B34" s="9" t="n">
        <v>7</v>
      </c>
      <c r="C34" s="9" t="s">
        <v>4850</v>
      </c>
      <c r="D34" s="9" t="s">
        <v>2375</v>
      </c>
      <c r="E34" s="9" t="s">
        <v>2002</v>
      </c>
      <c r="F34" s="15" t="n">
        <v>500</v>
      </c>
      <c r="G34" s="9" t="s">
        <v>110</v>
      </c>
      <c r="H34" s="9" t="s">
        <v>1977</v>
      </c>
      <c r="I34" s="9" t="s">
        <v>2376</v>
      </c>
      <c r="J34" s="9" t="s">
        <v>2374</v>
      </c>
    </row>
    <row r="35" customFormat="false" ht="23.25" hidden="false" customHeight="true" outlineLevel="0" collapsed="false">
      <c r="A35" s="9" t="s">
        <v>1135</v>
      </c>
      <c r="B35" s="9" t="n">
        <v>8</v>
      </c>
      <c r="C35" s="9" t="s">
        <v>4850</v>
      </c>
      <c r="D35" s="9" t="s">
        <v>2390</v>
      </c>
      <c r="E35" s="9" t="s">
        <v>2002</v>
      </c>
      <c r="F35" s="15" t="n">
        <v>600</v>
      </c>
      <c r="G35" s="9" t="s">
        <v>110</v>
      </c>
      <c r="H35" s="9" t="s">
        <v>1977</v>
      </c>
      <c r="I35" s="9" t="s">
        <v>2391</v>
      </c>
      <c r="J35" s="9" t="s">
        <v>2389</v>
      </c>
    </row>
    <row r="36" customFormat="false" ht="15" hidden="false" customHeight="true" outlineLevel="0" collapsed="false">
      <c r="A36" s="9" t="s">
        <v>1135</v>
      </c>
      <c r="B36" s="9" t="n">
        <v>9</v>
      </c>
      <c r="C36" s="9" t="s">
        <v>4852</v>
      </c>
      <c r="D36" s="9" t="s">
        <v>4336</v>
      </c>
      <c r="E36" s="9" t="s">
        <v>2002</v>
      </c>
      <c r="F36" s="11" t="n">
        <v>20</v>
      </c>
      <c r="G36" s="9" t="s">
        <v>73</v>
      </c>
      <c r="H36" s="9" t="s">
        <v>1977</v>
      </c>
      <c r="I36" s="9" t="s">
        <v>4337</v>
      </c>
      <c r="J36" s="9" t="s">
        <v>4335</v>
      </c>
    </row>
    <row r="37" customFormat="false" ht="15" hidden="false" customHeight="true" outlineLevel="0" collapsed="false">
      <c r="A37" s="9" t="s">
        <v>1135</v>
      </c>
      <c r="B37" s="9" t="n">
        <v>10</v>
      </c>
      <c r="C37" s="9" t="s">
        <v>4846</v>
      </c>
      <c r="D37" s="9" t="s">
        <v>3213</v>
      </c>
      <c r="E37" s="9" t="s">
        <v>2002</v>
      </c>
      <c r="F37" s="11" t="n">
        <v>30</v>
      </c>
      <c r="G37" s="9" t="s">
        <v>73</v>
      </c>
      <c r="H37" s="9" t="s">
        <v>1977</v>
      </c>
      <c r="I37" s="9" t="s">
        <v>3214</v>
      </c>
      <c r="J37" s="9" t="s">
        <v>3212</v>
      </c>
    </row>
    <row r="38" customFormat="false" ht="15" hidden="false" customHeight="true" outlineLevel="0" collapsed="false">
      <c r="A38" s="9" t="s">
        <v>1135</v>
      </c>
      <c r="B38" s="9" t="n">
        <v>11</v>
      </c>
      <c r="C38" s="9" t="s">
        <v>4842</v>
      </c>
      <c r="D38" s="9" t="s">
        <v>3592</v>
      </c>
      <c r="E38" s="9" t="s">
        <v>1976</v>
      </c>
      <c r="F38" s="15" t="n">
        <v>1200</v>
      </c>
      <c r="G38" s="9" t="s">
        <v>110</v>
      </c>
      <c r="H38" s="9" t="s">
        <v>1977</v>
      </c>
      <c r="I38" s="9" t="s">
        <v>3594</v>
      </c>
      <c r="J38" s="9" t="s">
        <v>3591</v>
      </c>
    </row>
    <row r="39" customFormat="false" ht="15" hidden="false" customHeight="true" outlineLevel="0" collapsed="false">
      <c r="A39" s="9" t="s">
        <v>1135</v>
      </c>
      <c r="B39" s="9" t="n">
        <v>12</v>
      </c>
      <c r="C39" s="9" t="s">
        <v>4842</v>
      </c>
      <c r="D39" s="9" t="s">
        <v>3633</v>
      </c>
      <c r="E39" s="9" t="s">
        <v>1976</v>
      </c>
      <c r="F39" s="15" t="n">
        <v>1200</v>
      </c>
      <c r="G39" s="9" t="s">
        <v>110</v>
      </c>
      <c r="H39" s="9" t="s">
        <v>1977</v>
      </c>
      <c r="I39" s="9" t="s">
        <v>3634</v>
      </c>
      <c r="J39" s="9" t="s">
        <v>3632</v>
      </c>
    </row>
    <row r="40" customFormat="false" ht="15" hidden="false" customHeight="true" outlineLevel="0" collapsed="false">
      <c r="A40" s="9" t="s">
        <v>1135</v>
      </c>
      <c r="B40" s="9" t="n">
        <v>13</v>
      </c>
      <c r="C40" s="9" t="s">
        <v>4843</v>
      </c>
      <c r="D40" s="9" t="s">
        <v>2054</v>
      </c>
      <c r="E40" s="9" t="s">
        <v>1976</v>
      </c>
      <c r="F40" s="11" t="n">
        <v>60</v>
      </c>
      <c r="G40" s="9" t="s">
        <v>73</v>
      </c>
      <c r="H40" s="9" t="s">
        <v>1977</v>
      </c>
      <c r="I40" s="9" t="s">
        <v>2055</v>
      </c>
      <c r="J40" s="9" t="s">
        <v>2053</v>
      </c>
    </row>
    <row r="41" customFormat="false" ht="15" hidden="false" customHeight="true" outlineLevel="0" collapsed="false">
      <c r="A41" s="9" t="s">
        <v>1135</v>
      </c>
      <c r="B41" s="9" t="n">
        <v>14</v>
      </c>
      <c r="C41" s="9" t="s">
        <v>4849</v>
      </c>
      <c r="D41" s="9" t="s">
        <v>2681</v>
      </c>
      <c r="E41" s="9" t="s">
        <v>1976</v>
      </c>
      <c r="F41" s="11" t="n">
        <v>100</v>
      </c>
      <c r="G41" s="9" t="s">
        <v>73</v>
      </c>
      <c r="H41" s="9" t="s">
        <v>1977</v>
      </c>
      <c r="I41" s="9" t="s">
        <v>2683</v>
      </c>
      <c r="J41" s="9" t="s">
        <v>2680</v>
      </c>
    </row>
    <row r="42" customFormat="false" ht="15" hidden="false" customHeight="true" outlineLevel="0" collapsed="false">
      <c r="A42" s="9" t="s">
        <v>1135</v>
      </c>
      <c r="B42" s="9" t="n">
        <v>15</v>
      </c>
      <c r="C42" s="9" t="s">
        <v>4844</v>
      </c>
      <c r="D42" s="9" t="s">
        <v>2984</v>
      </c>
      <c r="E42" s="9" t="s">
        <v>1976</v>
      </c>
      <c r="F42" s="11" t="n">
        <v>60</v>
      </c>
      <c r="G42" s="9" t="s">
        <v>73</v>
      </c>
      <c r="H42" s="9" t="s">
        <v>1977</v>
      </c>
      <c r="I42" s="9" t="s">
        <v>2985</v>
      </c>
      <c r="J42" s="9" t="s">
        <v>2983</v>
      </c>
    </row>
    <row r="43" customFormat="false" ht="15" hidden="false" customHeight="true" outlineLevel="0" collapsed="false">
      <c r="A43" s="9" t="s">
        <v>1135</v>
      </c>
      <c r="B43" s="9" t="n">
        <v>16</v>
      </c>
      <c r="C43" s="9" t="s">
        <v>4851</v>
      </c>
      <c r="D43" s="9" t="s">
        <v>3772</v>
      </c>
      <c r="E43" s="9" t="s">
        <v>1976</v>
      </c>
      <c r="F43" s="15" t="n">
        <v>1200</v>
      </c>
      <c r="G43" s="9" t="s">
        <v>110</v>
      </c>
      <c r="H43" s="9" t="s">
        <v>1977</v>
      </c>
      <c r="I43" s="9" t="s">
        <v>3773</v>
      </c>
      <c r="J43" s="9" t="s">
        <v>3771</v>
      </c>
    </row>
    <row r="44" customFormat="false" ht="15" hidden="false" customHeight="true" outlineLevel="0" collapsed="false">
      <c r="A44" s="9" t="s">
        <v>1135</v>
      </c>
      <c r="B44" s="9" t="n">
        <v>17</v>
      </c>
      <c r="C44" s="9" t="s">
        <v>4852</v>
      </c>
      <c r="D44" s="9" t="s">
        <v>4347</v>
      </c>
      <c r="E44" s="9" t="s">
        <v>1976</v>
      </c>
      <c r="F44" s="11" t="n">
        <v>60</v>
      </c>
      <c r="G44" s="9" t="s">
        <v>73</v>
      </c>
      <c r="H44" s="9" t="s">
        <v>1977</v>
      </c>
      <c r="I44" s="9" t="s">
        <v>4348</v>
      </c>
      <c r="J44" s="9" t="s">
        <v>4346</v>
      </c>
    </row>
    <row r="45" customFormat="false" ht="23.25" hidden="false" customHeight="true" outlineLevel="0" collapsed="false">
      <c r="A45" s="9" t="s">
        <v>1135</v>
      </c>
      <c r="B45" s="9" t="n">
        <v>18</v>
      </c>
      <c r="C45" s="9" t="s">
        <v>4853</v>
      </c>
      <c r="D45" s="9" t="s">
        <v>3952</v>
      </c>
      <c r="E45" s="9" t="s">
        <v>1976</v>
      </c>
      <c r="F45" s="15" t="n">
        <v>1000</v>
      </c>
      <c r="G45" s="9" t="s">
        <v>110</v>
      </c>
      <c r="H45" s="9" t="s">
        <v>2842</v>
      </c>
      <c r="I45" s="9" t="s">
        <v>3954</v>
      </c>
      <c r="J45" s="9" t="s">
        <v>3951</v>
      </c>
    </row>
    <row r="46" customFormat="false" ht="23.25" hidden="false" customHeight="true" outlineLevel="0" collapsed="false">
      <c r="A46" s="9" t="s">
        <v>1135</v>
      </c>
      <c r="B46" s="9" t="n">
        <v>19</v>
      </c>
      <c r="C46" s="9" t="s">
        <v>4853</v>
      </c>
      <c r="D46" s="9" t="s">
        <v>3982</v>
      </c>
      <c r="E46" s="9" t="s">
        <v>1976</v>
      </c>
      <c r="F46" s="15" t="n">
        <v>1500</v>
      </c>
      <c r="G46" s="9" t="s">
        <v>110</v>
      </c>
      <c r="H46" s="9" t="s">
        <v>1977</v>
      </c>
      <c r="I46" s="9" t="s">
        <v>3983</v>
      </c>
      <c r="J46" s="9" t="s">
        <v>3981</v>
      </c>
    </row>
    <row r="47" customFormat="false" ht="15" hidden="false" customHeight="true" outlineLevel="0" collapsed="false">
      <c r="A47" s="9" t="s">
        <v>1135</v>
      </c>
      <c r="B47" s="9" t="n">
        <v>20</v>
      </c>
      <c r="C47" s="9" t="s">
        <v>4845</v>
      </c>
      <c r="D47" s="9" t="s">
        <v>2841</v>
      </c>
      <c r="E47" s="9" t="s">
        <v>2312</v>
      </c>
      <c r="F47" s="11" t="n">
        <v>250</v>
      </c>
      <c r="G47" s="9" t="s">
        <v>73</v>
      </c>
      <c r="H47" s="9" t="s">
        <v>2842</v>
      </c>
      <c r="I47" s="9" t="s">
        <v>2844</v>
      </c>
      <c r="J47" s="9" t="s">
        <v>2840</v>
      </c>
    </row>
    <row r="48" customFormat="false" ht="15" hidden="false" customHeight="true" outlineLevel="0" collapsed="false">
      <c r="A48" s="9" t="s">
        <v>1136</v>
      </c>
      <c r="B48" s="9" t="n">
        <v>1</v>
      </c>
      <c r="C48" s="9" t="s">
        <v>4843</v>
      </c>
      <c r="D48" s="9" t="s">
        <v>2025</v>
      </c>
      <c r="E48" s="9" t="s">
        <v>2002</v>
      </c>
      <c r="F48" s="11" t="n">
        <v>40</v>
      </c>
      <c r="G48" s="9" t="s">
        <v>73</v>
      </c>
      <c r="H48" s="9" t="s">
        <v>1977</v>
      </c>
      <c r="I48" s="9" t="s">
        <v>2027</v>
      </c>
      <c r="J48" s="9" t="s">
        <v>2024</v>
      </c>
    </row>
    <row r="49" customFormat="false" ht="15" hidden="false" customHeight="true" outlineLevel="0" collapsed="false">
      <c r="A49" s="9" t="s">
        <v>1136</v>
      </c>
      <c r="B49" s="9" t="n">
        <v>2</v>
      </c>
      <c r="C49" s="9" t="s">
        <v>4853</v>
      </c>
      <c r="D49" s="9" t="s">
        <v>4095</v>
      </c>
      <c r="E49" s="9" t="s">
        <v>2002</v>
      </c>
      <c r="F49" s="15" t="n">
        <v>500</v>
      </c>
      <c r="G49" s="9" t="s">
        <v>110</v>
      </c>
      <c r="H49" s="9" t="s">
        <v>1977</v>
      </c>
      <c r="I49" s="9" t="s">
        <v>4096</v>
      </c>
      <c r="J49" s="9" t="s">
        <v>4094</v>
      </c>
    </row>
    <row r="50" customFormat="false" ht="15" hidden="false" customHeight="true" outlineLevel="0" collapsed="false">
      <c r="A50" s="9" t="s">
        <v>1136</v>
      </c>
      <c r="B50" s="9" t="n">
        <v>3</v>
      </c>
      <c r="C50" s="9" t="s">
        <v>4847</v>
      </c>
      <c r="D50" s="9" t="s">
        <v>2228</v>
      </c>
      <c r="E50" s="9" t="s">
        <v>1976</v>
      </c>
      <c r="F50" s="11" t="n">
        <v>60</v>
      </c>
      <c r="G50" s="9" t="s">
        <v>73</v>
      </c>
      <c r="H50" s="9" t="s">
        <v>1977</v>
      </c>
      <c r="I50" s="9" t="s">
        <v>2229</v>
      </c>
      <c r="J50" s="9" t="s">
        <v>2227</v>
      </c>
    </row>
    <row r="51" customFormat="false" ht="15" hidden="false" customHeight="true" outlineLevel="0" collapsed="false">
      <c r="A51" s="9" t="s">
        <v>1136</v>
      </c>
      <c r="B51" s="9" t="n">
        <v>4</v>
      </c>
      <c r="C51" s="9" t="s">
        <v>195</v>
      </c>
      <c r="D51" s="9" t="s">
        <v>3373</v>
      </c>
      <c r="E51" s="9" t="s">
        <v>1976</v>
      </c>
      <c r="F51" s="15" t="n">
        <v>1500</v>
      </c>
      <c r="G51" s="9" t="s">
        <v>110</v>
      </c>
      <c r="H51" s="9" t="s">
        <v>1977</v>
      </c>
      <c r="I51" s="9" t="s">
        <v>3374</v>
      </c>
      <c r="J51" s="9" t="s">
        <v>3372</v>
      </c>
    </row>
    <row r="52" customFormat="false" ht="15" hidden="false" customHeight="true" outlineLevel="0" collapsed="false">
      <c r="A52" s="9" t="s">
        <v>1136</v>
      </c>
      <c r="B52" s="9" t="n">
        <v>5</v>
      </c>
      <c r="C52" s="9" t="s">
        <v>4842</v>
      </c>
      <c r="D52" s="9" t="s">
        <v>3556</v>
      </c>
      <c r="E52" s="9" t="s">
        <v>1976</v>
      </c>
      <c r="F52" s="15" t="n">
        <v>1800</v>
      </c>
      <c r="G52" s="9" t="s">
        <v>110</v>
      </c>
      <c r="H52" s="9" t="s">
        <v>1977</v>
      </c>
      <c r="I52" s="9" t="s">
        <v>3557</v>
      </c>
      <c r="J52" s="9" t="s">
        <v>3555</v>
      </c>
    </row>
    <row r="53" customFormat="false" ht="15" hidden="false" customHeight="true" outlineLevel="0" collapsed="false">
      <c r="A53" s="9" t="s">
        <v>1136</v>
      </c>
      <c r="B53" s="9" t="n">
        <v>6</v>
      </c>
      <c r="C53" s="9" t="s">
        <v>4843</v>
      </c>
      <c r="D53" s="9" t="s">
        <v>2067</v>
      </c>
      <c r="E53" s="9" t="s">
        <v>1976</v>
      </c>
      <c r="F53" s="11" t="n">
        <v>80</v>
      </c>
      <c r="G53" s="9" t="s">
        <v>73</v>
      </c>
      <c r="H53" s="9" t="s">
        <v>1977</v>
      </c>
      <c r="I53" s="9" t="s">
        <v>2068</v>
      </c>
      <c r="J53" s="9" t="s">
        <v>2066</v>
      </c>
    </row>
    <row r="54" customFormat="false" ht="15" hidden="false" customHeight="true" outlineLevel="0" collapsed="false">
      <c r="A54" s="9" t="s">
        <v>1136</v>
      </c>
      <c r="B54" s="9" t="n">
        <v>7</v>
      </c>
      <c r="C54" s="9" t="s">
        <v>4849</v>
      </c>
      <c r="D54" s="9" t="s">
        <v>2630</v>
      </c>
      <c r="E54" s="9" t="s">
        <v>1976</v>
      </c>
      <c r="F54" s="11" t="n">
        <v>100</v>
      </c>
      <c r="G54" s="9" t="s">
        <v>73</v>
      </c>
      <c r="H54" s="9" t="s">
        <v>1977</v>
      </c>
      <c r="I54" s="9" t="s">
        <v>2631</v>
      </c>
      <c r="J54" s="9" t="s">
        <v>2629</v>
      </c>
    </row>
    <row r="55" customFormat="false" ht="23.25" hidden="false" customHeight="true" outlineLevel="0" collapsed="false">
      <c r="A55" s="9" t="s">
        <v>1136</v>
      </c>
      <c r="B55" s="9" t="n">
        <v>8</v>
      </c>
      <c r="C55" s="9" t="s">
        <v>4849</v>
      </c>
      <c r="D55" s="9" t="s">
        <v>2642</v>
      </c>
      <c r="E55" s="9" t="s">
        <v>1976</v>
      </c>
      <c r="F55" s="11" t="n">
        <v>90</v>
      </c>
      <c r="G55" s="9" t="s">
        <v>73</v>
      </c>
      <c r="H55" s="9" t="s">
        <v>1977</v>
      </c>
      <c r="I55" s="9" t="s">
        <v>2643</v>
      </c>
      <c r="J55" s="9" t="s">
        <v>2641</v>
      </c>
    </row>
    <row r="56" customFormat="false" ht="23.25" hidden="false" customHeight="true" outlineLevel="0" collapsed="false">
      <c r="A56" s="9" t="s">
        <v>1136</v>
      </c>
      <c r="B56" s="9" t="n">
        <v>9</v>
      </c>
      <c r="C56" s="9" t="s">
        <v>4849</v>
      </c>
      <c r="D56" s="9" t="s">
        <v>2654</v>
      </c>
      <c r="E56" s="9" t="s">
        <v>1976</v>
      </c>
      <c r="F56" s="11" t="n">
        <v>120</v>
      </c>
      <c r="G56" s="9" t="s">
        <v>73</v>
      </c>
      <c r="H56" s="9" t="s">
        <v>1977</v>
      </c>
      <c r="I56" s="9" t="s">
        <v>2656</v>
      </c>
      <c r="J56" s="9" t="s">
        <v>2653</v>
      </c>
    </row>
    <row r="57" customFormat="false" ht="15" hidden="false" customHeight="true" outlineLevel="0" collapsed="false">
      <c r="A57" s="9" t="s">
        <v>1136</v>
      </c>
      <c r="B57" s="9" t="n">
        <v>10</v>
      </c>
      <c r="C57" s="9" t="s">
        <v>4844</v>
      </c>
      <c r="D57" s="9" t="s">
        <v>3041</v>
      </c>
      <c r="E57" s="9" t="s">
        <v>1976</v>
      </c>
      <c r="F57" s="11" t="n">
        <v>80</v>
      </c>
      <c r="G57" s="9" t="s">
        <v>73</v>
      </c>
      <c r="H57" s="9" t="s">
        <v>1977</v>
      </c>
      <c r="I57" s="9" t="s">
        <v>3042</v>
      </c>
      <c r="J57" s="9" t="s">
        <v>3040</v>
      </c>
    </row>
    <row r="58" customFormat="false" ht="15" hidden="false" customHeight="true" outlineLevel="0" collapsed="false">
      <c r="A58" s="9" t="s">
        <v>1136</v>
      </c>
      <c r="B58" s="9" t="n">
        <v>11</v>
      </c>
      <c r="C58" s="9" t="s">
        <v>4850</v>
      </c>
      <c r="D58" s="9" t="s">
        <v>2490</v>
      </c>
      <c r="E58" s="9" t="s">
        <v>1976</v>
      </c>
      <c r="F58" s="15" t="n">
        <v>1800</v>
      </c>
      <c r="G58" s="9" t="s">
        <v>110</v>
      </c>
      <c r="H58" s="9" t="s">
        <v>1977</v>
      </c>
      <c r="I58" s="9" t="s">
        <v>2491</v>
      </c>
      <c r="J58" s="9" t="s">
        <v>2435</v>
      </c>
    </row>
    <row r="59" customFormat="false" ht="15" hidden="false" customHeight="true" outlineLevel="0" collapsed="false">
      <c r="A59" s="9" t="s">
        <v>1136</v>
      </c>
      <c r="B59" s="9" t="n">
        <v>12</v>
      </c>
      <c r="C59" s="9" t="s">
        <v>4851</v>
      </c>
      <c r="D59" s="9" t="s">
        <v>3797</v>
      </c>
      <c r="E59" s="9" t="s">
        <v>1976</v>
      </c>
      <c r="F59" s="15" t="n">
        <v>1500</v>
      </c>
      <c r="G59" s="9" t="s">
        <v>110</v>
      </c>
      <c r="H59" s="9" t="s">
        <v>1977</v>
      </c>
      <c r="I59" s="9" t="s">
        <v>3798</v>
      </c>
      <c r="J59" s="9" t="s">
        <v>3796</v>
      </c>
    </row>
    <row r="60" customFormat="false" ht="15" hidden="false" customHeight="true" outlineLevel="0" collapsed="false">
      <c r="A60" s="9" t="s">
        <v>1136</v>
      </c>
      <c r="B60" s="9" t="n">
        <v>13</v>
      </c>
      <c r="C60" s="9" t="s">
        <v>4845</v>
      </c>
      <c r="D60" s="9" t="s">
        <v>2886</v>
      </c>
      <c r="E60" s="9" t="s">
        <v>1976</v>
      </c>
      <c r="F60" s="11" t="n">
        <v>100</v>
      </c>
      <c r="G60" s="9" t="s">
        <v>73</v>
      </c>
      <c r="H60" s="9" t="s">
        <v>1977</v>
      </c>
      <c r="I60" s="9" t="s">
        <v>2887</v>
      </c>
      <c r="J60" s="9" t="s">
        <v>2885</v>
      </c>
    </row>
    <row r="61" customFormat="false" ht="15" hidden="false" customHeight="true" outlineLevel="0" collapsed="false">
      <c r="A61" s="9" t="s">
        <v>1136</v>
      </c>
      <c r="B61" s="9" t="n">
        <v>14</v>
      </c>
      <c r="C61" s="9" t="s">
        <v>4852</v>
      </c>
      <c r="D61" s="9" t="s">
        <v>4371</v>
      </c>
      <c r="E61" s="9" t="s">
        <v>1976</v>
      </c>
      <c r="F61" s="11" t="n">
        <v>60</v>
      </c>
      <c r="G61" s="9" t="s">
        <v>73</v>
      </c>
      <c r="H61" s="9" t="s">
        <v>1977</v>
      </c>
      <c r="I61" s="9" t="s">
        <v>4372</v>
      </c>
      <c r="J61" s="9" t="s">
        <v>4370</v>
      </c>
    </row>
    <row r="62" customFormat="false" ht="15" hidden="false" customHeight="true" outlineLevel="0" collapsed="false">
      <c r="A62" s="9" t="s">
        <v>1136</v>
      </c>
      <c r="B62" s="9" t="n">
        <v>15</v>
      </c>
      <c r="C62" s="9" t="s">
        <v>4846</v>
      </c>
      <c r="D62" s="9" t="s">
        <v>3263</v>
      </c>
      <c r="E62" s="9" t="s">
        <v>1976</v>
      </c>
      <c r="F62" s="11" t="n">
        <v>80</v>
      </c>
      <c r="G62" s="9" t="s">
        <v>73</v>
      </c>
      <c r="H62" s="9" t="s">
        <v>1977</v>
      </c>
      <c r="I62" s="9" t="s">
        <v>3264</v>
      </c>
      <c r="J62" s="9" t="s">
        <v>3262</v>
      </c>
    </row>
    <row r="63" customFormat="false" ht="15" hidden="false" customHeight="true" outlineLevel="0" collapsed="false">
      <c r="A63" s="9" t="s">
        <v>1136</v>
      </c>
      <c r="B63" s="9" t="n">
        <v>16</v>
      </c>
      <c r="C63" s="9" t="s">
        <v>4848</v>
      </c>
      <c r="D63" s="9" t="s">
        <v>4155</v>
      </c>
      <c r="E63" s="9" t="s">
        <v>2312</v>
      </c>
      <c r="F63" s="11" t="n">
        <v>300</v>
      </c>
      <c r="G63" s="9" t="s">
        <v>73</v>
      </c>
      <c r="H63" s="9" t="s">
        <v>2842</v>
      </c>
      <c r="I63" s="9" t="s">
        <v>4157</v>
      </c>
      <c r="J63" s="9" t="s">
        <v>4154</v>
      </c>
    </row>
    <row r="64" customFormat="false" ht="15" hidden="false" customHeight="true" outlineLevel="0" collapsed="false">
      <c r="A64" s="9" t="s">
        <v>1136</v>
      </c>
      <c r="B64" s="9" t="n">
        <v>17</v>
      </c>
      <c r="C64" s="9" t="s">
        <v>4849</v>
      </c>
      <c r="D64" s="9" t="s">
        <v>2669</v>
      </c>
      <c r="E64" s="9" t="s">
        <v>2312</v>
      </c>
      <c r="F64" s="11" t="n">
        <v>300</v>
      </c>
      <c r="G64" s="9" t="s">
        <v>73</v>
      </c>
      <c r="H64" s="9" t="s">
        <v>1977</v>
      </c>
      <c r="I64" s="9" t="s">
        <v>2670</v>
      </c>
      <c r="J64" s="9" t="s">
        <v>2668</v>
      </c>
    </row>
    <row r="65" customFormat="false" ht="23.25" hidden="false" customHeight="true" outlineLevel="0" collapsed="false">
      <c r="A65" s="9" t="s">
        <v>1136</v>
      </c>
      <c r="B65" s="9" t="n">
        <v>18</v>
      </c>
      <c r="C65" s="9" t="s">
        <v>4850</v>
      </c>
      <c r="D65" s="9" t="s">
        <v>2477</v>
      </c>
      <c r="E65" s="9" t="s">
        <v>2312</v>
      </c>
      <c r="F65" s="15" t="n">
        <v>6000</v>
      </c>
      <c r="G65" s="9" t="s">
        <v>110</v>
      </c>
      <c r="H65" s="9" t="s">
        <v>1977</v>
      </c>
      <c r="I65" s="9" t="s">
        <v>2478</v>
      </c>
      <c r="J65" s="9" t="s">
        <v>2462</v>
      </c>
    </row>
    <row r="66" customFormat="false" ht="15" hidden="false" customHeight="true" outlineLevel="0" collapsed="false">
      <c r="A66" s="9" t="s">
        <v>1137</v>
      </c>
      <c r="B66" s="9" t="n">
        <v>1</v>
      </c>
      <c r="C66" s="9" t="s">
        <v>4847</v>
      </c>
      <c r="D66" s="9" t="s">
        <v>2216</v>
      </c>
      <c r="E66" s="9" t="s">
        <v>2002</v>
      </c>
      <c r="F66" s="11" t="n">
        <v>15</v>
      </c>
      <c r="G66" s="9" t="s">
        <v>73</v>
      </c>
      <c r="H66" s="9" t="s">
        <v>1977</v>
      </c>
      <c r="I66" s="9" t="s">
        <v>2217</v>
      </c>
      <c r="J66" s="9" t="s">
        <v>2215</v>
      </c>
    </row>
    <row r="67" customFormat="false" ht="23.25" hidden="false" customHeight="true" outlineLevel="0" collapsed="false">
      <c r="A67" s="9" t="s">
        <v>1137</v>
      </c>
      <c r="B67" s="9" t="n">
        <v>2</v>
      </c>
      <c r="C67" s="9" t="s">
        <v>195</v>
      </c>
      <c r="D67" s="9" t="s">
        <v>3438</v>
      </c>
      <c r="E67" s="9" t="s">
        <v>2002</v>
      </c>
      <c r="F67" s="15" t="n">
        <v>500</v>
      </c>
      <c r="G67" s="9" t="s">
        <v>110</v>
      </c>
      <c r="H67" s="9" t="s">
        <v>1977</v>
      </c>
      <c r="I67" s="9" t="s">
        <v>3439</v>
      </c>
      <c r="J67" s="9" t="s">
        <v>3437</v>
      </c>
    </row>
    <row r="68" customFormat="false" ht="15" hidden="false" customHeight="true" outlineLevel="0" collapsed="false">
      <c r="A68" s="9" t="s">
        <v>1137</v>
      </c>
      <c r="B68" s="9" t="n">
        <v>3</v>
      </c>
      <c r="C68" s="9" t="s">
        <v>4842</v>
      </c>
      <c r="D68" s="9" t="s">
        <v>3621</v>
      </c>
      <c r="E68" s="9" t="s">
        <v>2002</v>
      </c>
      <c r="F68" s="15" t="n">
        <v>400</v>
      </c>
      <c r="G68" s="9" t="s">
        <v>110</v>
      </c>
      <c r="H68" s="9" t="s">
        <v>1977</v>
      </c>
      <c r="I68" s="9" t="s">
        <v>3622</v>
      </c>
      <c r="J68" s="9" t="s">
        <v>3620</v>
      </c>
    </row>
    <row r="69" customFormat="false" ht="15" hidden="false" customHeight="true" outlineLevel="0" collapsed="false">
      <c r="A69" s="9" t="s">
        <v>1137</v>
      </c>
      <c r="B69" s="9" t="n">
        <v>4</v>
      </c>
      <c r="C69" s="9" t="s">
        <v>4848</v>
      </c>
      <c r="D69" s="9" t="s">
        <v>4142</v>
      </c>
      <c r="E69" s="9" t="s">
        <v>2002</v>
      </c>
      <c r="F69" s="11" t="n">
        <v>20</v>
      </c>
      <c r="G69" s="9" t="s">
        <v>73</v>
      </c>
      <c r="H69" s="9" t="s">
        <v>1977</v>
      </c>
      <c r="I69" s="9" t="s">
        <v>4143</v>
      </c>
      <c r="J69" s="9" t="s">
        <v>4141</v>
      </c>
    </row>
    <row r="70" customFormat="false" ht="15" hidden="false" customHeight="true" outlineLevel="0" collapsed="false">
      <c r="A70" s="9" t="s">
        <v>1137</v>
      </c>
      <c r="B70" s="9" t="n">
        <v>5</v>
      </c>
      <c r="C70" s="9" t="s">
        <v>4843</v>
      </c>
      <c r="D70" s="9" t="s">
        <v>2040</v>
      </c>
      <c r="E70" s="9" t="s">
        <v>2002</v>
      </c>
      <c r="F70" s="11" t="n">
        <v>25</v>
      </c>
      <c r="G70" s="9" t="s">
        <v>73</v>
      </c>
      <c r="H70" s="9" t="s">
        <v>1977</v>
      </c>
      <c r="I70" s="9" t="s">
        <v>2041</v>
      </c>
      <c r="J70" s="9" t="s">
        <v>2039</v>
      </c>
    </row>
    <row r="71" customFormat="false" ht="15" hidden="false" customHeight="true" outlineLevel="0" collapsed="false">
      <c r="A71" s="9" t="s">
        <v>1137</v>
      </c>
      <c r="B71" s="9" t="n">
        <v>6</v>
      </c>
      <c r="C71" s="9" t="s">
        <v>4843</v>
      </c>
      <c r="D71" s="9" t="s">
        <v>2079</v>
      </c>
      <c r="E71" s="9" t="s">
        <v>2002</v>
      </c>
      <c r="F71" s="11" t="n">
        <v>20</v>
      </c>
      <c r="G71" s="9" t="s">
        <v>73</v>
      </c>
      <c r="H71" s="9" t="s">
        <v>1977</v>
      </c>
      <c r="I71" s="9" t="s">
        <v>2080</v>
      </c>
      <c r="J71" s="9" t="s">
        <v>2078</v>
      </c>
    </row>
    <row r="72" customFormat="false" ht="15" hidden="false" customHeight="true" outlineLevel="0" collapsed="false">
      <c r="A72" s="9" t="s">
        <v>1137</v>
      </c>
      <c r="B72" s="9" t="n">
        <v>7</v>
      </c>
      <c r="C72" s="9" t="s">
        <v>4849</v>
      </c>
      <c r="D72" s="9" t="s">
        <v>2696</v>
      </c>
      <c r="E72" s="9" t="s">
        <v>2002</v>
      </c>
      <c r="F72" s="11" t="n">
        <v>40</v>
      </c>
      <c r="G72" s="9" t="s">
        <v>73</v>
      </c>
      <c r="H72" s="9" t="s">
        <v>1977</v>
      </c>
      <c r="I72" s="9" t="s">
        <v>2698</v>
      </c>
      <c r="J72" s="9" t="s">
        <v>2695</v>
      </c>
    </row>
    <row r="73" customFormat="false" ht="15" hidden="false" customHeight="true" outlineLevel="0" collapsed="false">
      <c r="A73" s="9" t="s">
        <v>1137</v>
      </c>
      <c r="B73" s="9" t="n">
        <v>8</v>
      </c>
      <c r="C73" s="9" t="s">
        <v>4844</v>
      </c>
      <c r="D73" s="9" t="s">
        <v>3031</v>
      </c>
      <c r="E73" s="9" t="s">
        <v>2002</v>
      </c>
      <c r="F73" s="11" t="n">
        <v>30</v>
      </c>
      <c r="G73" s="9" t="s">
        <v>73</v>
      </c>
      <c r="H73" s="9" t="s">
        <v>1977</v>
      </c>
      <c r="I73" s="9" t="s">
        <v>3032</v>
      </c>
      <c r="J73" s="9" t="s">
        <v>3030</v>
      </c>
    </row>
    <row r="74" customFormat="false" ht="15" hidden="false" customHeight="true" outlineLevel="0" collapsed="false">
      <c r="A74" s="9" t="s">
        <v>1137</v>
      </c>
      <c r="B74" s="9" t="n">
        <v>9</v>
      </c>
      <c r="C74" s="9" t="s">
        <v>4850</v>
      </c>
      <c r="D74" s="9" t="s">
        <v>2402</v>
      </c>
      <c r="E74" s="9" t="s">
        <v>2002</v>
      </c>
      <c r="F74" s="15" t="n">
        <v>500</v>
      </c>
      <c r="G74" s="9" t="s">
        <v>110</v>
      </c>
      <c r="H74" s="9" t="s">
        <v>1977</v>
      </c>
      <c r="I74" s="9" t="s">
        <v>2403</v>
      </c>
      <c r="J74" s="9" t="s">
        <v>2401</v>
      </c>
    </row>
    <row r="75" customFormat="false" ht="15" hidden="false" customHeight="true" outlineLevel="0" collapsed="false">
      <c r="A75" s="9" t="s">
        <v>1137</v>
      </c>
      <c r="B75" s="9" t="n">
        <v>10</v>
      </c>
      <c r="C75" s="9" t="s">
        <v>4851</v>
      </c>
      <c r="D75" s="9" t="s">
        <v>3759</v>
      </c>
      <c r="E75" s="9" t="s">
        <v>2002</v>
      </c>
      <c r="F75" s="15" t="n">
        <v>300</v>
      </c>
      <c r="G75" s="9" t="s">
        <v>110</v>
      </c>
      <c r="H75" s="9" t="s">
        <v>1977</v>
      </c>
      <c r="I75" s="9" t="s">
        <v>3760</v>
      </c>
      <c r="J75" s="9" t="s">
        <v>3758</v>
      </c>
    </row>
    <row r="76" customFormat="false" ht="15" hidden="false" customHeight="true" outlineLevel="0" collapsed="false">
      <c r="A76" s="9" t="s">
        <v>1137</v>
      </c>
      <c r="B76" s="9" t="n">
        <v>11</v>
      </c>
      <c r="C76" s="9" t="s">
        <v>4845</v>
      </c>
      <c r="D76" s="9" t="s">
        <v>2871</v>
      </c>
      <c r="E76" s="9" t="s">
        <v>2002</v>
      </c>
      <c r="F76" s="11" t="n">
        <v>30</v>
      </c>
      <c r="G76" s="9" t="s">
        <v>73</v>
      </c>
      <c r="H76" s="9" t="s">
        <v>1977</v>
      </c>
      <c r="I76" s="9" t="s">
        <v>2872</v>
      </c>
      <c r="J76" s="9" t="s">
        <v>2870</v>
      </c>
    </row>
    <row r="77" customFormat="false" ht="15" hidden="false" customHeight="true" outlineLevel="0" collapsed="false">
      <c r="A77" s="9" t="s">
        <v>1137</v>
      </c>
      <c r="B77" s="9" t="n">
        <v>12</v>
      </c>
      <c r="C77" s="9" t="s">
        <v>4845</v>
      </c>
      <c r="D77" s="9" t="s">
        <v>2900</v>
      </c>
      <c r="E77" s="9" t="s">
        <v>2002</v>
      </c>
      <c r="F77" s="11" t="n">
        <v>25</v>
      </c>
      <c r="G77" s="9" t="s">
        <v>73</v>
      </c>
      <c r="H77" s="9" t="s">
        <v>1977</v>
      </c>
      <c r="I77" s="9" t="s">
        <v>2901</v>
      </c>
      <c r="J77" s="9" t="s">
        <v>2899</v>
      </c>
    </row>
    <row r="78" customFormat="false" ht="15" hidden="false" customHeight="true" outlineLevel="0" collapsed="false">
      <c r="A78" s="9" t="s">
        <v>1137</v>
      </c>
      <c r="B78" s="9" t="n">
        <v>13</v>
      </c>
      <c r="C78" s="9" t="s">
        <v>4853</v>
      </c>
      <c r="D78" s="9" t="s">
        <v>3968</v>
      </c>
      <c r="E78" s="9" t="s">
        <v>2002</v>
      </c>
      <c r="F78" s="15" t="n">
        <v>400</v>
      </c>
      <c r="G78" s="9" t="s">
        <v>110</v>
      </c>
      <c r="H78" s="9" t="s">
        <v>1977</v>
      </c>
      <c r="I78" s="9" t="s">
        <v>3969</v>
      </c>
      <c r="J78" s="9" t="s">
        <v>3967</v>
      </c>
    </row>
    <row r="79" customFormat="false" ht="15" hidden="false" customHeight="true" outlineLevel="0" collapsed="false">
      <c r="A79" s="9" t="s">
        <v>1137</v>
      </c>
      <c r="B79" s="9" t="n">
        <v>14</v>
      </c>
      <c r="C79" s="9" t="s">
        <v>4852</v>
      </c>
      <c r="D79" s="9" t="s">
        <v>4384</v>
      </c>
      <c r="E79" s="9" t="s">
        <v>1976</v>
      </c>
      <c r="F79" s="11" t="n">
        <v>80</v>
      </c>
      <c r="G79" s="9" t="s">
        <v>73</v>
      </c>
      <c r="H79" s="9" t="s">
        <v>1977</v>
      </c>
      <c r="I79" s="9" t="s">
        <v>4385</v>
      </c>
      <c r="J79" s="9" t="s">
        <v>4383</v>
      </c>
    </row>
    <row r="80" customFormat="false" ht="15" hidden="false" customHeight="true" outlineLevel="0" collapsed="false">
      <c r="A80" s="9" t="s">
        <v>1137</v>
      </c>
      <c r="B80" s="9" t="n">
        <v>15</v>
      </c>
      <c r="C80" s="9" t="s">
        <v>4846</v>
      </c>
      <c r="D80" s="9" t="s">
        <v>3249</v>
      </c>
      <c r="E80" s="9" t="s">
        <v>1976</v>
      </c>
      <c r="F80" s="11" t="n">
        <v>60</v>
      </c>
      <c r="G80" s="9" t="s">
        <v>73</v>
      </c>
      <c r="H80" s="9" t="s">
        <v>1977</v>
      </c>
      <c r="I80" s="9" t="s">
        <v>3250</v>
      </c>
      <c r="J80" s="9" t="s">
        <v>3248</v>
      </c>
    </row>
    <row r="81" customFormat="false" ht="23.25" hidden="false" customHeight="true" outlineLevel="0" collapsed="false">
      <c r="A81" s="9" t="s">
        <v>1138</v>
      </c>
      <c r="B81" s="9" t="n">
        <v>1</v>
      </c>
      <c r="C81" s="9" t="s">
        <v>4847</v>
      </c>
      <c r="D81" s="9" t="s">
        <v>2242</v>
      </c>
      <c r="E81" s="9" t="s">
        <v>2002</v>
      </c>
      <c r="F81" s="11" t="n">
        <v>10</v>
      </c>
      <c r="G81" s="9" t="s">
        <v>73</v>
      </c>
      <c r="H81" s="9" t="s">
        <v>1977</v>
      </c>
      <c r="I81" s="9" t="s">
        <v>2243</v>
      </c>
      <c r="J81" s="9" t="s">
        <v>2241</v>
      </c>
    </row>
    <row r="82" customFormat="false" ht="23.25" hidden="false" customHeight="true" outlineLevel="0" collapsed="false">
      <c r="A82" s="9" t="s">
        <v>1138</v>
      </c>
      <c r="B82" s="9" t="n">
        <v>2</v>
      </c>
      <c r="C82" s="9" t="s">
        <v>195</v>
      </c>
      <c r="D82" s="9" t="s">
        <v>3451</v>
      </c>
      <c r="E82" s="9" t="s">
        <v>2002</v>
      </c>
      <c r="F82" s="15" t="n">
        <v>400</v>
      </c>
      <c r="G82" s="9" t="s">
        <v>110</v>
      </c>
      <c r="H82" s="9" t="s">
        <v>1977</v>
      </c>
      <c r="I82" s="9" t="s">
        <v>3452</v>
      </c>
      <c r="J82" s="9" t="s">
        <v>3450</v>
      </c>
    </row>
    <row r="83" customFormat="false" ht="23.25" hidden="false" customHeight="true" outlineLevel="0" collapsed="false">
      <c r="A83" s="9" t="s">
        <v>1138</v>
      </c>
      <c r="B83" s="9" t="n">
        <v>3</v>
      </c>
      <c r="C83" s="9" t="s">
        <v>4842</v>
      </c>
      <c r="D83" s="9" t="s">
        <v>3659</v>
      </c>
      <c r="E83" s="9" t="s">
        <v>2002</v>
      </c>
      <c r="F83" s="15" t="n">
        <v>400</v>
      </c>
      <c r="G83" s="9" t="s">
        <v>110</v>
      </c>
      <c r="H83" s="9" t="s">
        <v>1977</v>
      </c>
      <c r="I83" s="9" t="s">
        <v>3661</v>
      </c>
      <c r="J83" s="9" t="s">
        <v>3658</v>
      </c>
    </row>
    <row r="84" customFormat="false" ht="15" hidden="false" customHeight="true" outlineLevel="0" collapsed="false">
      <c r="A84" s="9" t="s">
        <v>1138</v>
      </c>
      <c r="B84" s="9" t="n">
        <v>4</v>
      </c>
      <c r="C84" s="9" t="s">
        <v>4843</v>
      </c>
      <c r="D84" s="9" t="s">
        <v>2119</v>
      </c>
      <c r="E84" s="9" t="s">
        <v>2002</v>
      </c>
      <c r="F84" s="11" t="n">
        <v>15</v>
      </c>
      <c r="G84" s="9" t="s">
        <v>73</v>
      </c>
      <c r="H84" s="9" t="s">
        <v>1977</v>
      </c>
      <c r="I84" s="9" t="s">
        <v>2120</v>
      </c>
      <c r="J84" s="9" t="s">
        <v>2118</v>
      </c>
    </row>
    <row r="85" customFormat="false" ht="15" hidden="false" customHeight="true" outlineLevel="0" collapsed="false">
      <c r="A85" s="9" t="s">
        <v>1138</v>
      </c>
      <c r="B85" s="9" t="n">
        <v>5</v>
      </c>
      <c r="C85" s="9" t="s">
        <v>4849</v>
      </c>
      <c r="D85" s="9" t="s">
        <v>2720</v>
      </c>
      <c r="E85" s="9" t="s">
        <v>2002</v>
      </c>
      <c r="F85" s="11" t="n">
        <v>25</v>
      </c>
      <c r="G85" s="9" t="s">
        <v>73</v>
      </c>
      <c r="H85" s="9" t="s">
        <v>1977</v>
      </c>
      <c r="I85" s="9" t="s">
        <v>2721</v>
      </c>
      <c r="J85" s="9" t="s">
        <v>2719</v>
      </c>
    </row>
    <row r="86" customFormat="false" ht="15" hidden="false" customHeight="true" outlineLevel="0" collapsed="false">
      <c r="A86" s="9" t="s">
        <v>1138</v>
      </c>
      <c r="B86" s="9" t="n">
        <v>6</v>
      </c>
      <c r="C86" s="9" t="s">
        <v>4844</v>
      </c>
      <c r="D86" s="9" t="s">
        <v>3055</v>
      </c>
      <c r="E86" s="9" t="s">
        <v>2002</v>
      </c>
      <c r="F86" s="11" t="n">
        <v>25</v>
      </c>
      <c r="G86" s="9" t="s">
        <v>73</v>
      </c>
      <c r="H86" s="9" t="s">
        <v>1977</v>
      </c>
      <c r="I86" s="9" t="s">
        <v>3056</v>
      </c>
      <c r="J86" s="9" t="s">
        <v>3054</v>
      </c>
    </row>
    <row r="87" customFormat="false" ht="23.25" hidden="false" customHeight="true" outlineLevel="0" collapsed="false">
      <c r="A87" s="9" t="s">
        <v>1138</v>
      </c>
      <c r="B87" s="9" t="n">
        <v>7</v>
      </c>
      <c r="C87" s="9" t="s">
        <v>4850</v>
      </c>
      <c r="D87" s="9" t="s">
        <v>2566</v>
      </c>
      <c r="E87" s="9" t="s">
        <v>2002</v>
      </c>
      <c r="F87" s="15" t="n">
        <v>500</v>
      </c>
      <c r="G87" s="9" t="s">
        <v>110</v>
      </c>
      <c r="H87" s="9" t="s">
        <v>1977</v>
      </c>
      <c r="I87" s="9" t="s">
        <v>2567</v>
      </c>
      <c r="J87" s="9" t="s">
        <v>2565</v>
      </c>
    </row>
    <row r="88" customFormat="false" ht="23.25" hidden="false" customHeight="true" outlineLevel="0" collapsed="false">
      <c r="A88" s="9" t="s">
        <v>1138</v>
      </c>
      <c r="B88" s="9" t="n">
        <v>8</v>
      </c>
      <c r="C88" s="9" t="s">
        <v>4851</v>
      </c>
      <c r="D88" s="9" t="s">
        <v>3835</v>
      </c>
      <c r="E88" s="9" t="s">
        <v>2002</v>
      </c>
      <c r="F88" s="15" t="n">
        <v>500</v>
      </c>
      <c r="G88" s="9" t="s">
        <v>110</v>
      </c>
      <c r="H88" s="9" t="s">
        <v>1977</v>
      </c>
      <c r="I88" s="9" t="s">
        <v>3837</v>
      </c>
      <c r="J88" s="9" t="s">
        <v>3834</v>
      </c>
    </row>
    <row r="89" customFormat="false" ht="15" hidden="false" customHeight="true" outlineLevel="0" collapsed="false">
      <c r="A89" s="9" t="s">
        <v>1138</v>
      </c>
      <c r="B89" s="9" t="n">
        <v>9</v>
      </c>
      <c r="C89" s="9" t="s">
        <v>4845</v>
      </c>
      <c r="D89" s="9" t="s">
        <v>2912</v>
      </c>
      <c r="E89" s="9" t="s">
        <v>2002</v>
      </c>
      <c r="F89" s="11" t="n">
        <v>30</v>
      </c>
      <c r="G89" s="9" t="s">
        <v>73</v>
      </c>
      <c r="H89" s="9" t="s">
        <v>1977</v>
      </c>
      <c r="I89" s="9" t="s">
        <v>2014</v>
      </c>
      <c r="J89" s="9" t="s">
        <v>2911</v>
      </c>
    </row>
    <row r="90" customFormat="false" ht="15" hidden="false" customHeight="true" outlineLevel="0" collapsed="false">
      <c r="A90" s="9" t="s">
        <v>1138</v>
      </c>
      <c r="B90" s="9" t="n">
        <v>10</v>
      </c>
      <c r="C90" s="9" t="s">
        <v>4853</v>
      </c>
      <c r="D90" s="9" t="s">
        <v>3996</v>
      </c>
      <c r="E90" s="9" t="s">
        <v>2002</v>
      </c>
      <c r="F90" s="15" t="n">
        <v>400</v>
      </c>
      <c r="G90" s="9" t="s">
        <v>110</v>
      </c>
      <c r="H90" s="9" t="s">
        <v>1977</v>
      </c>
      <c r="I90" s="9" t="s">
        <v>3997</v>
      </c>
      <c r="J90" s="9" t="s">
        <v>3995</v>
      </c>
    </row>
    <row r="91" customFormat="false" ht="15" hidden="false" customHeight="true" outlineLevel="0" collapsed="false">
      <c r="A91" s="9" t="s">
        <v>1138</v>
      </c>
      <c r="B91" s="9" t="n">
        <v>11</v>
      </c>
      <c r="C91" s="9" t="s">
        <v>4846</v>
      </c>
      <c r="D91" s="9" t="s">
        <v>3285</v>
      </c>
      <c r="E91" s="9" t="s">
        <v>2002</v>
      </c>
      <c r="F91" s="11" t="n">
        <v>25</v>
      </c>
      <c r="G91" s="9" t="s">
        <v>73</v>
      </c>
      <c r="H91" s="9" t="s">
        <v>1977</v>
      </c>
      <c r="I91" s="9" t="s">
        <v>3286</v>
      </c>
      <c r="J91" s="9" t="s">
        <v>3284</v>
      </c>
    </row>
    <row r="92" customFormat="false" ht="15" hidden="false" customHeight="true" outlineLevel="0" collapsed="false">
      <c r="A92" s="9" t="s">
        <v>1138</v>
      </c>
      <c r="B92" s="9" t="n">
        <v>12</v>
      </c>
      <c r="C92" s="9" t="s">
        <v>4848</v>
      </c>
      <c r="D92" s="9" t="s">
        <v>4222</v>
      </c>
      <c r="E92" s="9" t="s">
        <v>1976</v>
      </c>
      <c r="F92" s="11" t="n">
        <v>50</v>
      </c>
      <c r="G92" s="9" t="s">
        <v>73</v>
      </c>
      <c r="H92" s="9" t="s">
        <v>1977</v>
      </c>
      <c r="I92" s="9" t="s">
        <v>4223</v>
      </c>
      <c r="J92" s="9" t="s">
        <v>4221</v>
      </c>
    </row>
    <row r="93" customFormat="false" ht="15" hidden="false" customHeight="true" outlineLevel="0" collapsed="false">
      <c r="A93" s="9" t="s">
        <v>1138</v>
      </c>
      <c r="B93" s="9" t="n">
        <v>13</v>
      </c>
      <c r="C93" s="9" t="s">
        <v>4852</v>
      </c>
      <c r="D93" s="9" t="s">
        <v>4411</v>
      </c>
      <c r="E93" s="9" t="s">
        <v>1976</v>
      </c>
      <c r="F93" s="11" t="n">
        <v>50</v>
      </c>
      <c r="G93" s="9" t="s">
        <v>73</v>
      </c>
      <c r="H93" s="9" t="s">
        <v>1977</v>
      </c>
      <c r="I93" s="9" t="s">
        <v>4412</v>
      </c>
      <c r="J93" s="9" t="s">
        <v>4410</v>
      </c>
    </row>
    <row r="94" customFormat="false" ht="15" hidden="false" customHeight="true" outlineLevel="0" collapsed="false">
      <c r="A94" s="9" t="s">
        <v>1139</v>
      </c>
      <c r="B94" s="9" t="n">
        <v>1</v>
      </c>
      <c r="C94" s="9" t="s">
        <v>4847</v>
      </c>
      <c r="D94" s="9" t="s">
        <v>2253</v>
      </c>
      <c r="E94" s="9" t="s">
        <v>2002</v>
      </c>
      <c r="F94" s="11" t="n">
        <v>0</v>
      </c>
      <c r="G94" s="9" t="s">
        <v>73</v>
      </c>
      <c r="H94" s="9" t="s">
        <v>1977</v>
      </c>
      <c r="I94" s="9" t="s">
        <v>2254</v>
      </c>
      <c r="J94" s="9" t="s">
        <v>2252</v>
      </c>
    </row>
    <row r="95" customFormat="false" ht="15" hidden="false" customHeight="true" outlineLevel="0" collapsed="false">
      <c r="A95" s="9" t="s">
        <v>1139</v>
      </c>
      <c r="B95" s="9" t="n">
        <v>2</v>
      </c>
      <c r="C95" s="9" t="s">
        <v>195</v>
      </c>
      <c r="D95" s="9" t="s">
        <v>3430</v>
      </c>
      <c r="E95" s="9" t="s">
        <v>2002</v>
      </c>
      <c r="F95" s="15" t="n">
        <v>0</v>
      </c>
      <c r="G95" s="9" t="s">
        <v>110</v>
      </c>
      <c r="H95" s="9" t="s">
        <v>1977</v>
      </c>
      <c r="I95" s="9" t="s">
        <v>3431</v>
      </c>
      <c r="J95" s="9" t="s">
        <v>3429</v>
      </c>
    </row>
    <row r="96" customFormat="false" ht="23.25" hidden="false" customHeight="true" outlineLevel="0" collapsed="false">
      <c r="A96" s="9" t="s">
        <v>1139</v>
      </c>
      <c r="B96" s="9" t="n">
        <v>3</v>
      </c>
      <c r="C96" s="9" t="s">
        <v>4842</v>
      </c>
      <c r="D96" s="9" t="s">
        <v>3673</v>
      </c>
      <c r="E96" s="9" t="s">
        <v>2002</v>
      </c>
      <c r="F96" s="15" t="n">
        <v>0</v>
      </c>
      <c r="G96" s="9" t="s">
        <v>110</v>
      </c>
      <c r="H96" s="9" t="s">
        <v>1977</v>
      </c>
      <c r="I96" s="9" t="s">
        <v>3674</v>
      </c>
      <c r="J96" s="9" t="s">
        <v>3672</v>
      </c>
    </row>
    <row r="97" customFormat="false" ht="23.25" hidden="false" customHeight="true" outlineLevel="0" collapsed="false">
      <c r="A97" s="9" t="s">
        <v>1139</v>
      </c>
      <c r="B97" s="9" t="n">
        <v>4</v>
      </c>
      <c r="C97" s="9" t="s">
        <v>4848</v>
      </c>
      <c r="D97" s="9" t="s">
        <v>4245</v>
      </c>
      <c r="E97" s="9" t="s">
        <v>2002</v>
      </c>
      <c r="F97" s="11" t="n">
        <v>0</v>
      </c>
      <c r="G97" s="9" t="s">
        <v>73</v>
      </c>
      <c r="H97" s="9" t="s">
        <v>1977</v>
      </c>
      <c r="I97" s="9" t="s">
        <v>4246</v>
      </c>
      <c r="J97" s="9" t="s">
        <v>4244</v>
      </c>
    </row>
    <row r="98" customFormat="false" ht="15" hidden="false" customHeight="true" outlineLevel="0" collapsed="false">
      <c r="A98" s="9" t="s">
        <v>1139</v>
      </c>
      <c r="B98" s="9" t="n">
        <v>5</v>
      </c>
      <c r="C98" s="9" t="s">
        <v>4843</v>
      </c>
      <c r="D98" s="9" t="s">
        <v>2141</v>
      </c>
      <c r="E98" s="9" t="s">
        <v>2002</v>
      </c>
      <c r="F98" s="11" t="n">
        <v>0</v>
      </c>
      <c r="G98" s="9" t="s">
        <v>73</v>
      </c>
      <c r="H98" s="9" t="s">
        <v>1977</v>
      </c>
      <c r="I98" s="9" t="s">
        <v>2142</v>
      </c>
      <c r="J98" s="9" t="s">
        <v>2140</v>
      </c>
    </row>
    <row r="99" customFormat="false" ht="15" hidden="false" customHeight="true" outlineLevel="0" collapsed="false">
      <c r="A99" s="9" t="s">
        <v>1139</v>
      </c>
      <c r="B99" s="9" t="n">
        <v>6</v>
      </c>
      <c r="C99" s="9" t="s">
        <v>4849</v>
      </c>
      <c r="D99" s="9" t="s">
        <v>2732</v>
      </c>
      <c r="E99" s="9" t="s">
        <v>2002</v>
      </c>
      <c r="F99" s="11" t="n">
        <v>0</v>
      </c>
      <c r="G99" s="9" t="s">
        <v>73</v>
      </c>
      <c r="H99" s="9" t="s">
        <v>1977</v>
      </c>
      <c r="I99" s="9" t="s">
        <v>2733</v>
      </c>
      <c r="J99" s="9" t="s">
        <v>2731</v>
      </c>
    </row>
    <row r="100" customFormat="false" ht="15" hidden="false" customHeight="true" outlineLevel="0" collapsed="false">
      <c r="A100" s="9" t="s">
        <v>1139</v>
      </c>
      <c r="B100" s="9" t="n">
        <v>7</v>
      </c>
      <c r="C100" s="9" t="s">
        <v>4844</v>
      </c>
      <c r="D100" s="9" t="s">
        <v>2964</v>
      </c>
      <c r="E100" s="9" t="s">
        <v>2002</v>
      </c>
      <c r="F100" s="11" t="n">
        <v>0</v>
      </c>
      <c r="G100" s="9" t="s">
        <v>73</v>
      </c>
      <c r="H100" s="9" t="s">
        <v>1977</v>
      </c>
      <c r="I100" s="9" t="s">
        <v>2965</v>
      </c>
      <c r="J100" s="9" t="s">
        <v>2963</v>
      </c>
    </row>
    <row r="101" customFormat="false" ht="23.25" hidden="false" customHeight="true" outlineLevel="0" collapsed="false">
      <c r="A101" s="9" t="s">
        <v>1139</v>
      </c>
      <c r="B101" s="9" t="n">
        <v>8</v>
      </c>
      <c r="C101" s="9" t="s">
        <v>4850</v>
      </c>
      <c r="D101" s="9" t="s">
        <v>2414</v>
      </c>
      <c r="E101" s="9" t="s">
        <v>2002</v>
      </c>
      <c r="F101" s="15" t="n">
        <v>0</v>
      </c>
      <c r="G101" s="9" t="s">
        <v>110</v>
      </c>
      <c r="H101" s="9" t="s">
        <v>1977</v>
      </c>
      <c r="I101" s="9" t="s">
        <v>2415</v>
      </c>
      <c r="J101" s="9" t="s">
        <v>2413</v>
      </c>
    </row>
    <row r="102" customFormat="false" ht="15" hidden="false" customHeight="true" outlineLevel="0" collapsed="false">
      <c r="A102" s="9" t="s">
        <v>1139</v>
      </c>
      <c r="B102" s="9" t="n">
        <v>9</v>
      </c>
      <c r="C102" s="9" t="s">
        <v>4851</v>
      </c>
      <c r="D102" s="9" t="s">
        <v>3846</v>
      </c>
      <c r="E102" s="9" t="s">
        <v>2002</v>
      </c>
      <c r="F102" s="15" t="n">
        <v>0</v>
      </c>
      <c r="G102" s="9" t="s">
        <v>110</v>
      </c>
      <c r="H102" s="9" t="s">
        <v>1977</v>
      </c>
      <c r="I102" s="9" t="s">
        <v>3847</v>
      </c>
      <c r="J102" s="9" t="s">
        <v>3845</v>
      </c>
    </row>
    <row r="103" customFormat="false" ht="15" hidden="false" customHeight="true" outlineLevel="0" collapsed="false">
      <c r="A103" s="9" t="s">
        <v>1139</v>
      </c>
      <c r="B103" s="9" t="n">
        <v>10</v>
      </c>
      <c r="C103" s="9" t="s">
        <v>4845</v>
      </c>
      <c r="D103" s="9" t="s">
        <v>2921</v>
      </c>
      <c r="E103" s="9" t="s">
        <v>2002</v>
      </c>
      <c r="F103" s="11" t="n">
        <v>0</v>
      </c>
      <c r="G103" s="9" t="s">
        <v>73</v>
      </c>
      <c r="H103" s="9" t="s">
        <v>1977</v>
      </c>
      <c r="I103" s="9" t="s">
        <v>2922</v>
      </c>
      <c r="J103" s="9" t="s">
        <v>2920</v>
      </c>
    </row>
    <row r="104" customFormat="false" ht="23.25" hidden="false" customHeight="true" outlineLevel="0" collapsed="false">
      <c r="A104" s="9" t="s">
        <v>1139</v>
      </c>
      <c r="B104" s="9" t="n">
        <v>11</v>
      </c>
      <c r="C104" s="9" t="s">
        <v>4852</v>
      </c>
      <c r="D104" s="9" t="s">
        <v>4434</v>
      </c>
      <c r="E104" s="9" t="s">
        <v>2002</v>
      </c>
      <c r="F104" s="11" t="n">
        <v>0</v>
      </c>
      <c r="G104" s="9" t="s">
        <v>73</v>
      </c>
      <c r="H104" s="9" t="s">
        <v>1977</v>
      </c>
      <c r="I104" s="9" t="s">
        <v>4435</v>
      </c>
      <c r="J104" s="9" t="s">
        <v>4433</v>
      </c>
    </row>
    <row r="105" customFormat="false" ht="23.25" hidden="false" customHeight="true" outlineLevel="0" collapsed="false">
      <c r="A105" s="9" t="s">
        <v>1139</v>
      </c>
      <c r="B105" s="9" t="n">
        <v>12</v>
      </c>
      <c r="C105" s="9" t="s">
        <v>4853</v>
      </c>
      <c r="D105" s="9" t="s">
        <v>4009</v>
      </c>
      <c r="E105" s="9" t="s">
        <v>2002</v>
      </c>
      <c r="F105" s="15" t="n">
        <v>0</v>
      </c>
      <c r="G105" s="9" t="s">
        <v>110</v>
      </c>
      <c r="H105" s="9" t="s">
        <v>1977</v>
      </c>
      <c r="I105" s="9" t="s">
        <v>4010</v>
      </c>
      <c r="J105" s="9" t="s">
        <v>4008</v>
      </c>
    </row>
    <row r="106" customFormat="false" ht="15" hidden="false" customHeight="true" outlineLevel="0" collapsed="false">
      <c r="A106" s="9" t="s">
        <v>1139</v>
      </c>
      <c r="B106" s="9" t="n">
        <v>13</v>
      </c>
      <c r="C106" s="9" t="s">
        <v>4846</v>
      </c>
      <c r="D106" s="9" t="s">
        <v>3296</v>
      </c>
      <c r="E106" s="9" t="s">
        <v>2002</v>
      </c>
      <c r="F106" s="11" t="n">
        <v>0</v>
      </c>
      <c r="G106" s="9" t="s">
        <v>73</v>
      </c>
      <c r="H106" s="9" t="s">
        <v>1977</v>
      </c>
      <c r="I106" s="9" t="s">
        <v>3297</v>
      </c>
      <c r="J106" s="9" t="s">
        <v>3295</v>
      </c>
    </row>
    <row r="107" customFormat="false" ht="15" hidden="false" customHeight="true" outlineLevel="0" collapsed="false">
      <c r="A107" s="9" t="s">
        <v>1140</v>
      </c>
      <c r="B107" s="9" t="n">
        <v>1</v>
      </c>
      <c r="C107" s="9" t="s">
        <v>4847</v>
      </c>
      <c r="D107" s="9" t="s">
        <v>2287</v>
      </c>
      <c r="E107" s="9" t="s">
        <v>2002</v>
      </c>
      <c r="F107" s="11" t="n">
        <v>10</v>
      </c>
      <c r="G107" s="9" t="s">
        <v>73</v>
      </c>
      <c r="H107" s="9" t="s">
        <v>1977</v>
      </c>
      <c r="I107" s="9" t="s">
        <v>2288</v>
      </c>
      <c r="J107" s="9" t="s">
        <v>2286</v>
      </c>
    </row>
    <row r="108" customFormat="false" ht="23.25" hidden="false" customHeight="true" outlineLevel="0" collapsed="false">
      <c r="A108" s="9" t="s">
        <v>1140</v>
      </c>
      <c r="B108" s="9" t="n">
        <v>2</v>
      </c>
      <c r="C108" s="9" t="s">
        <v>195</v>
      </c>
      <c r="D108" s="9" t="s">
        <v>3361</v>
      </c>
      <c r="E108" s="9" t="s">
        <v>2002</v>
      </c>
      <c r="F108" s="15" t="n">
        <v>300</v>
      </c>
      <c r="G108" s="9" t="s">
        <v>110</v>
      </c>
      <c r="H108" s="9" t="s">
        <v>1977</v>
      </c>
      <c r="I108" s="9" t="s">
        <v>3362</v>
      </c>
      <c r="J108" s="9" t="s">
        <v>3360</v>
      </c>
    </row>
    <row r="109" customFormat="false" ht="15" hidden="false" customHeight="true" outlineLevel="0" collapsed="false">
      <c r="A109" s="9" t="s">
        <v>1140</v>
      </c>
      <c r="B109" s="9" t="n">
        <v>3</v>
      </c>
      <c r="C109" s="9" t="s">
        <v>4842</v>
      </c>
      <c r="D109" s="9" t="s">
        <v>3648</v>
      </c>
      <c r="E109" s="9" t="s">
        <v>2002</v>
      </c>
      <c r="F109" s="15" t="n">
        <v>200</v>
      </c>
      <c r="G109" s="9" t="s">
        <v>110</v>
      </c>
      <c r="H109" s="9" t="s">
        <v>1977</v>
      </c>
      <c r="I109" s="9" t="s">
        <v>3649</v>
      </c>
      <c r="J109" s="9" t="s">
        <v>3647</v>
      </c>
    </row>
    <row r="110" customFormat="false" ht="15" hidden="false" customHeight="true" outlineLevel="0" collapsed="false">
      <c r="A110" s="9" t="s">
        <v>1140</v>
      </c>
      <c r="B110" s="9" t="n">
        <v>4</v>
      </c>
      <c r="C110" s="9" t="s">
        <v>4848</v>
      </c>
      <c r="D110" s="9" t="s">
        <v>4234</v>
      </c>
      <c r="E110" s="9" t="s">
        <v>2002</v>
      </c>
      <c r="F110" s="11" t="n">
        <v>10</v>
      </c>
      <c r="G110" s="9" t="s">
        <v>73</v>
      </c>
      <c r="H110" s="9" t="s">
        <v>1977</v>
      </c>
      <c r="I110" s="9" t="s">
        <v>4235</v>
      </c>
      <c r="J110" s="9" t="s">
        <v>4233</v>
      </c>
    </row>
    <row r="111" customFormat="false" ht="15" hidden="false" customHeight="true" outlineLevel="0" collapsed="false">
      <c r="A111" s="9" t="s">
        <v>1140</v>
      </c>
      <c r="B111" s="9" t="n">
        <v>5</v>
      </c>
      <c r="C111" s="9" t="s">
        <v>4843</v>
      </c>
      <c r="D111" s="9" t="s">
        <v>2130</v>
      </c>
      <c r="E111" s="9" t="s">
        <v>2002</v>
      </c>
      <c r="F111" s="11" t="n">
        <v>10</v>
      </c>
      <c r="G111" s="9" t="s">
        <v>73</v>
      </c>
      <c r="H111" s="9" t="s">
        <v>1977</v>
      </c>
      <c r="I111" s="9" t="s">
        <v>2131</v>
      </c>
      <c r="J111" s="9" t="s">
        <v>2129</v>
      </c>
    </row>
    <row r="112" customFormat="false" ht="15" hidden="false" customHeight="true" outlineLevel="0" collapsed="false">
      <c r="A112" s="9" t="s">
        <v>1140</v>
      </c>
      <c r="B112" s="9" t="n">
        <v>6</v>
      </c>
      <c r="C112" s="9" t="s">
        <v>4849</v>
      </c>
      <c r="D112" s="9" t="s">
        <v>2709</v>
      </c>
      <c r="E112" s="9" t="s">
        <v>2002</v>
      </c>
      <c r="F112" s="11" t="n">
        <v>20</v>
      </c>
      <c r="G112" s="9" t="s">
        <v>73</v>
      </c>
      <c r="H112" s="9" t="s">
        <v>1977</v>
      </c>
      <c r="I112" s="9" t="s">
        <v>2710</v>
      </c>
      <c r="J112" s="9" t="s">
        <v>2708</v>
      </c>
    </row>
    <row r="113" customFormat="false" ht="15" hidden="false" customHeight="true" outlineLevel="0" collapsed="false">
      <c r="A113" s="9" t="s">
        <v>1140</v>
      </c>
      <c r="B113" s="9" t="n">
        <v>7</v>
      </c>
      <c r="C113" s="9" t="s">
        <v>4844</v>
      </c>
      <c r="D113" s="9" t="s">
        <v>3067</v>
      </c>
      <c r="E113" s="9" t="s">
        <v>2002</v>
      </c>
      <c r="F113" s="11" t="n">
        <v>10</v>
      </c>
      <c r="G113" s="9" t="s">
        <v>73</v>
      </c>
      <c r="H113" s="9" t="s">
        <v>1977</v>
      </c>
      <c r="I113" s="9" t="s">
        <v>3056</v>
      </c>
      <c r="J113" s="9" t="s">
        <v>3066</v>
      </c>
    </row>
    <row r="114" customFormat="false" ht="23.25" hidden="false" customHeight="true" outlineLevel="0" collapsed="false">
      <c r="A114" s="9" t="s">
        <v>1140</v>
      </c>
      <c r="B114" s="9" t="n">
        <v>8</v>
      </c>
      <c r="C114" s="9" t="s">
        <v>4850</v>
      </c>
      <c r="D114" s="9" t="s">
        <v>2513</v>
      </c>
      <c r="E114" s="9" t="s">
        <v>2002</v>
      </c>
      <c r="F114" s="15" t="n">
        <v>300</v>
      </c>
      <c r="G114" s="9" t="s">
        <v>110</v>
      </c>
      <c r="H114" s="9" t="s">
        <v>1977</v>
      </c>
      <c r="I114" s="9" t="s">
        <v>2514</v>
      </c>
      <c r="J114" s="9" t="s">
        <v>2512</v>
      </c>
    </row>
    <row r="115" customFormat="false" ht="15" hidden="false" customHeight="true" outlineLevel="0" collapsed="false">
      <c r="A115" s="9" t="s">
        <v>1140</v>
      </c>
      <c r="B115" s="9" t="n">
        <v>9</v>
      </c>
      <c r="C115" s="9" t="s">
        <v>4851</v>
      </c>
      <c r="D115" s="9" t="s">
        <v>3747</v>
      </c>
      <c r="E115" s="9" t="s">
        <v>2002</v>
      </c>
      <c r="F115" s="15" t="n">
        <v>200</v>
      </c>
      <c r="G115" s="9" t="s">
        <v>110</v>
      </c>
      <c r="H115" s="9" t="s">
        <v>2842</v>
      </c>
      <c r="I115" s="9" t="s">
        <v>3749</v>
      </c>
      <c r="J115" s="9" t="s">
        <v>3746</v>
      </c>
    </row>
    <row r="116" customFormat="false" ht="15" hidden="false" customHeight="true" outlineLevel="0" collapsed="false">
      <c r="A116" s="9" t="s">
        <v>1140</v>
      </c>
      <c r="B116" s="9" t="n">
        <v>10</v>
      </c>
      <c r="C116" s="9" t="s">
        <v>4851</v>
      </c>
      <c r="D116" s="9" t="s">
        <v>3786</v>
      </c>
      <c r="E116" s="9" t="s">
        <v>2002</v>
      </c>
      <c r="F116" s="15" t="n">
        <v>300</v>
      </c>
      <c r="G116" s="9" t="s">
        <v>110</v>
      </c>
      <c r="H116" s="9" t="s">
        <v>2842</v>
      </c>
      <c r="I116" s="9" t="s">
        <v>3788</v>
      </c>
      <c r="J116" s="9" t="s">
        <v>3785</v>
      </c>
    </row>
    <row r="117" customFormat="false" ht="15" hidden="false" customHeight="true" outlineLevel="0" collapsed="false">
      <c r="A117" s="9" t="s">
        <v>1140</v>
      </c>
      <c r="B117" s="9" t="n">
        <v>11</v>
      </c>
      <c r="C117" s="9" t="s">
        <v>4852</v>
      </c>
      <c r="D117" s="9" t="s">
        <v>4423</v>
      </c>
      <c r="E117" s="9" t="s">
        <v>2002</v>
      </c>
      <c r="F117" s="11" t="n">
        <v>10</v>
      </c>
      <c r="G117" s="9" t="s">
        <v>73</v>
      </c>
      <c r="H117" s="9" t="s">
        <v>1977</v>
      </c>
      <c r="I117" s="9" t="s">
        <v>4424</v>
      </c>
      <c r="J117" s="9" t="s">
        <v>4422</v>
      </c>
    </row>
    <row r="118" customFormat="false" ht="23.25" hidden="false" customHeight="true" outlineLevel="0" collapsed="false">
      <c r="A118" s="9" t="s">
        <v>1140</v>
      </c>
      <c r="B118" s="9" t="n">
        <v>12</v>
      </c>
      <c r="C118" s="9" t="s">
        <v>4853</v>
      </c>
      <c r="D118" s="9" t="s">
        <v>4107</v>
      </c>
      <c r="E118" s="9" t="s">
        <v>2002</v>
      </c>
      <c r="F118" s="15" t="n">
        <v>200</v>
      </c>
      <c r="G118" s="9" t="s">
        <v>110</v>
      </c>
      <c r="H118" s="9" t="s">
        <v>1977</v>
      </c>
      <c r="I118" s="9" t="s">
        <v>4108</v>
      </c>
      <c r="J118" s="9" t="s">
        <v>4106</v>
      </c>
    </row>
    <row r="119" customFormat="false" ht="23.25" hidden="false" customHeight="true" outlineLevel="0" collapsed="false">
      <c r="A119" s="9" t="s">
        <v>1140</v>
      </c>
      <c r="B119" s="9" t="n">
        <v>13</v>
      </c>
      <c r="C119" s="9" t="s">
        <v>195</v>
      </c>
      <c r="D119" s="9" t="s">
        <v>3387</v>
      </c>
      <c r="E119" s="9" t="s">
        <v>1976</v>
      </c>
      <c r="F119" s="15" t="n">
        <v>1000</v>
      </c>
      <c r="G119" s="9" t="s">
        <v>110</v>
      </c>
      <c r="H119" s="9" t="s">
        <v>2842</v>
      </c>
      <c r="I119" s="9" t="s">
        <v>3389</v>
      </c>
      <c r="J119" s="9" t="s">
        <v>3386</v>
      </c>
    </row>
    <row r="120" customFormat="false" ht="15" hidden="false" customHeight="true" outlineLevel="0" collapsed="false">
      <c r="A120" s="9" t="s">
        <v>1140</v>
      </c>
      <c r="B120" s="9" t="n">
        <v>14</v>
      </c>
      <c r="C120" s="9" t="s">
        <v>4845</v>
      </c>
      <c r="D120" s="9" t="s">
        <v>2858</v>
      </c>
      <c r="E120" s="9" t="s">
        <v>1976</v>
      </c>
      <c r="F120" s="11" t="n">
        <v>50</v>
      </c>
      <c r="G120" s="9" t="s">
        <v>73</v>
      </c>
      <c r="H120" s="9" t="s">
        <v>2842</v>
      </c>
      <c r="I120" s="9" t="s">
        <v>2860</v>
      </c>
      <c r="J120" s="9" t="s">
        <v>2857</v>
      </c>
    </row>
    <row r="121" customFormat="false" ht="15" hidden="false" customHeight="true" outlineLevel="0" collapsed="false">
      <c r="A121" s="9" t="s">
        <v>1140</v>
      </c>
      <c r="B121" s="9" t="n">
        <v>15</v>
      </c>
      <c r="C121" s="9" t="s">
        <v>4846</v>
      </c>
      <c r="D121" s="9" t="s">
        <v>3237</v>
      </c>
      <c r="E121" s="9" t="s">
        <v>1976</v>
      </c>
      <c r="F121" s="11" t="n">
        <v>40</v>
      </c>
      <c r="G121" s="9" t="s">
        <v>73</v>
      </c>
      <c r="H121" s="9" t="s">
        <v>2842</v>
      </c>
      <c r="I121" s="9" t="s">
        <v>3239</v>
      </c>
      <c r="J121" s="9" t="s">
        <v>3236</v>
      </c>
    </row>
  </sheetData>
  <autoFilter ref="A1:J1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3" min="3" style="1" width="9"/>
    <col collapsed="false" customWidth="true" hidden="false" outlineLevel="0" max="5" min="4" style="1" width="12"/>
    <col collapsed="false" customWidth="true" hidden="false" outlineLevel="0" max="6" min="6" style="1" width="11"/>
    <col collapsed="false" customWidth="true" hidden="false" outlineLevel="0" max="7" min="7" style="1" width="48"/>
    <col collapsed="false" customWidth="true" hidden="false" outlineLevel="0" max="8" min="8" style="1" width="18"/>
    <col collapsed="false" customWidth="true" hidden="false" outlineLevel="0" max="9" min="9" style="1" width="20"/>
    <col collapsed="false" customWidth="true" hidden="false" outlineLevel="0" max="10" min="10" style="1" width="18"/>
    <col collapsed="false" customWidth="true" hidden="false" outlineLevel="0" max="11" min="11" style="1" width="20"/>
    <col collapsed="false" customWidth="true" hidden="false" outlineLevel="0" max="12" min="12" style="1" width="22"/>
    <col collapsed="false" customWidth="true" hidden="false" outlineLevel="0" max="13" min="13" style="1" width="7"/>
    <col collapsed="false" customWidth="true" hidden="false" outlineLevel="0" max="15" min="14" style="1" width="8"/>
    <col collapsed="false" customWidth="true" hidden="false" outlineLevel="0" max="16" min="16" style="1" width="18"/>
    <col collapsed="false" customWidth="true" hidden="false" outlineLevel="0" max="17" min="17" style="1" width="34"/>
    <col collapsed="false" customWidth="true" hidden="false" outlineLevel="0" max="18" min="18" style="1" width="9"/>
    <col collapsed="false" customWidth="true" hidden="false" outlineLevel="0" max="19" min="19" style="1" width="30"/>
  </cols>
  <sheetData>
    <row r="1" customFormat="false" ht="31.5" hidden="false" customHeight="true" outlineLevel="0" collapsed="false">
      <c r="A1" s="7" t="s">
        <v>4854</v>
      </c>
      <c r="B1" s="7" t="s">
        <v>4855</v>
      </c>
      <c r="C1" s="7" t="s">
        <v>4856</v>
      </c>
      <c r="D1" s="7" t="s">
        <v>4857</v>
      </c>
      <c r="E1" s="7" t="s">
        <v>4858</v>
      </c>
      <c r="F1" s="7" t="s">
        <v>4859</v>
      </c>
      <c r="G1" s="7" t="s">
        <v>4860</v>
      </c>
      <c r="H1" s="7" t="s">
        <v>4861</v>
      </c>
      <c r="I1" s="7" t="s">
        <v>4862</v>
      </c>
      <c r="J1" s="7" t="s">
        <v>4863</v>
      </c>
      <c r="K1" s="7" t="s">
        <v>4862</v>
      </c>
      <c r="L1" s="7" t="s">
        <v>4864</v>
      </c>
      <c r="M1" s="7" t="s">
        <v>4865</v>
      </c>
      <c r="N1" s="7" t="s">
        <v>4866</v>
      </c>
      <c r="O1" s="7" t="s">
        <v>4867</v>
      </c>
      <c r="P1" s="7" t="s">
        <v>1533</v>
      </c>
      <c r="Q1" s="7" t="s">
        <v>4868</v>
      </c>
      <c r="R1" s="7" t="s">
        <v>4869</v>
      </c>
      <c r="S1" s="7" t="s">
        <v>66</v>
      </c>
    </row>
    <row r="2" customFormat="false" ht="23.25" hidden="false" customHeight="true" outlineLevel="0" collapsed="false">
      <c r="A2" s="9" t="s">
        <v>1551</v>
      </c>
      <c r="B2" s="9" t="s">
        <v>4870</v>
      </c>
      <c r="C2" s="9" t="s">
        <v>4871</v>
      </c>
      <c r="D2" s="9" t="s">
        <v>4872</v>
      </c>
      <c r="E2" s="9" t="s">
        <v>113</v>
      </c>
      <c r="F2" s="9" t="s">
        <v>1133</v>
      </c>
      <c r="G2" s="9" t="s">
        <v>4873</v>
      </c>
      <c r="H2" s="9" t="s">
        <v>4874</v>
      </c>
      <c r="I2" s="9" t="s">
        <v>4875</v>
      </c>
      <c r="J2" s="9" t="s">
        <v>2089</v>
      </c>
      <c r="K2" s="9" t="s">
        <v>4876</v>
      </c>
      <c r="L2" s="9" t="s">
        <v>4877</v>
      </c>
      <c r="M2" s="9" t="n">
        <v>14</v>
      </c>
      <c r="N2" s="9" t="n">
        <v>88</v>
      </c>
      <c r="O2" s="9" t="n">
        <v>4.9</v>
      </c>
      <c r="P2" s="9" t="s">
        <v>1550</v>
      </c>
      <c r="Q2" s="9" t="s">
        <v>4878</v>
      </c>
      <c r="R2" s="9" t="s">
        <v>4879</v>
      </c>
      <c r="S2" s="14"/>
    </row>
    <row r="3" customFormat="false" ht="15" hidden="false" customHeight="true" outlineLevel="0" collapsed="false">
      <c r="A3" s="9" t="s">
        <v>4880</v>
      </c>
      <c r="B3" s="9" t="s">
        <v>4881</v>
      </c>
      <c r="C3" s="9" t="s">
        <v>4882</v>
      </c>
      <c r="D3" s="9" t="s">
        <v>4883</v>
      </c>
      <c r="E3" s="9" t="s">
        <v>4884</v>
      </c>
      <c r="F3" s="9" t="s">
        <v>1136</v>
      </c>
      <c r="G3" s="9" t="s">
        <v>4885</v>
      </c>
      <c r="H3" s="9" t="s">
        <v>4522</v>
      </c>
      <c r="I3" s="9" t="s">
        <v>4886</v>
      </c>
      <c r="J3" s="9" t="s">
        <v>4887</v>
      </c>
      <c r="K3" s="9" t="s">
        <v>4888</v>
      </c>
      <c r="L3" s="9" t="s">
        <v>4889</v>
      </c>
      <c r="M3" s="9" t="n">
        <v>11</v>
      </c>
      <c r="N3" s="9" t="n">
        <v>63</v>
      </c>
      <c r="O3" s="9" t="n">
        <v>4.7</v>
      </c>
      <c r="P3" s="9" t="s">
        <v>1550</v>
      </c>
      <c r="Q3" s="9" t="s">
        <v>4890</v>
      </c>
      <c r="R3" s="9" t="s">
        <v>4891</v>
      </c>
      <c r="S3" s="14"/>
    </row>
    <row r="4" customFormat="false" ht="15" hidden="false" customHeight="true" outlineLevel="0" collapsed="false">
      <c r="A4" s="9" t="s">
        <v>4892</v>
      </c>
      <c r="B4" s="9" t="s">
        <v>4893</v>
      </c>
      <c r="C4" s="9" t="s">
        <v>4894</v>
      </c>
      <c r="D4" s="9" t="s">
        <v>4895</v>
      </c>
      <c r="E4" s="9" t="s">
        <v>4896</v>
      </c>
      <c r="F4" s="9" t="s">
        <v>1137</v>
      </c>
      <c r="G4" s="9" t="s">
        <v>4897</v>
      </c>
      <c r="H4" s="9" t="s">
        <v>4874</v>
      </c>
      <c r="I4" s="9" t="s">
        <v>4898</v>
      </c>
      <c r="J4" s="9" t="s">
        <v>4899</v>
      </c>
      <c r="K4" s="9" t="s">
        <v>4900</v>
      </c>
      <c r="L4" s="9" t="s">
        <v>4901</v>
      </c>
      <c r="M4" s="9" t="n">
        <v>9</v>
      </c>
      <c r="N4" s="9" t="n">
        <v>41</v>
      </c>
      <c r="O4" s="9" t="n">
        <v>4.9</v>
      </c>
      <c r="P4" s="9" t="s">
        <v>1550</v>
      </c>
      <c r="Q4" s="9" t="s">
        <v>4902</v>
      </c>
      <c r="R4" s="9" t="s">
        <v>4891</v>
      </c>
      <c r="S4" s="14"/>
    </row>
    <row r="5" customFormat="false" ht="23.25" hidden="false" customHeight="true" outlineLevel="0" collapsed="false">
      <c r="A5" s="9" t="s">
        <v>1564</v>
      </c>
      <c r="B5" s="9" t="s">
        <v>4903</v>
      </c>
      <c r="C5" s="9" t="s">
        <v>4904</v>
      </c>
      <c r="D5" s="9" t="s">
        <v>4905</v>
      </c>
      <c r="E5" s="9" t="s">
        <v>4906</v>
      </c>
      <c r="F5" s="9" t="s">
        <v>1135</v>
      </c>
      <c r="G5" s="9" t="s">
        <v>4907</v>
      </c>
      <c r="H5" s="9" t="s">
        <v>2063</v>
      </c>
      <c r="I5" s="9" t="s">
        <v>4876</v>
      </c>
      <c r="J5" s="9" t="s">
        <v>4908</v>
      </c>
      <c r="K5" s="9" t="s">
        <v>4909</v>
      </c>
      <c r="L5" s="9" t="s">
        <v>4910</v>
      </c>
      <c r="M5" s="9" t="n">
        <v>10</v>
      </c>
      <c r="N5" s="9" t="n">
        <v>38</v>
      </c>
      <c r="O5" s="9" t="n">
        <v>4.8</v>
      </c>
      <c r="P5" s="9" t="s">
        <v>1563</v>
      </c>
      <c r="Q5" s="9" t="s">
        <v>4911</v>
      </c>
      <c r="R5" s="9" t="s">
        <v>4891</v>
      </c>
      <c r="S5" s="14"/>
    </row>
    <row r="6" customFormat="false" ht="15" hidden="false" customHeight="true" outlineLevel="0" collapsed="false">
      <c r="A6" s="9" t="s">
        <v>4912</v>
      </c>
      <c r="B6" s="9" t="s">
        <v>4913</v>
      </c>
      <c r="C6" s="9" t="s">
        <v>4914</v>
      </c>
      <c r="D6" s="9" t="s">
        <v>4915</v>
      </c>
      <c r="E6" s="9" t="s">
        <v>4915</v>
      </c>
      <c r="F6" s="9" t="s">
        <v>1137</v>
      </c>
      <c r="G6" s="9" t="s">
        <v>4916</v>
      </c>
      <c r="H6" s="9" t="s">
        <v>2089</v>
      </c>
      <c r="I6" s="9" t="s">
        <v>4917</v>
      </c>
      <c r="J6" s="9" t="s">
        <v>4918</v>
      </c>
      <c r="K6" s="9" t="s">
        <v>4919</v>
      </c>
      <c r="L6" s="9" t="s">
        <v>4920</v>
      </c>
      <c r="M6" s="9" t="n">
        <v>6</v>
      </c>
      <c r="N6" s="9" t="n">
        <v>9</v>
      </c>
      <c r="O6" s="9" t="n">
        <v>5</v>
      </c>
      <c r="P6" s="9" t="s">
        <v>1563</v>
      </c>
      <c r="Q6" s="9" t="s">
        <v>4921</v>
      </c>
      <c r="R6" s="9" t="s">
        <v>4891</v>
      </c>
      <c r="S6" s="14"/>
    </row>
    <row r="7" customFormat="false" ht="15" hidden="false" customHeight="true" outlineLevel="0" collapsed="false">
      <c r="A7" s="9" t="s">
        <v>1577</v>
      </c>
      <c r="B7" s="9" t="s">
        <v>4922</v>
      </c>
      <c r="C7" s="9" t="s">
        <v>4923</v>
      </c>
      <c r="D7" s="9" t="s">
        <v>4924</v>
      </c>
      <c r="E7" s="9" t="s">
        <v>4925</v>
      </c>
      <c r="F7" s="9" t="s">
        <v>1136</v>
      </c>
      <c r="G7" s="9" t="s">
        <v>4926</v>
      </c>
      <c r="H7" s="9" t="s">
        <v>2077</v>
      </c>
      <c r="I7" s="9" t="s">
        <v>4886</v>
      </c>
      <c r="J7" s="9" t="s">
        <v>4927</v>
      </c>
      <c r="K7" s="9" t="s">
        <v>4900</v>
      </c>
      <c r="L7" s="9" t="s">
        <v>4928</v>
      </c>
      <c r="M7" s="9" t="n">
        <v>4</v>
      </c>
      <c r="N7" s="9" t="n">
        <v>22</v>
      </c>
      <c r="O7" s="9" t="n">
        <v>4.4</v>
      </c>
      <c r="P7" s="9" t="s">
        <v>1576</v>
      </c>
      <c r="Q7" s="9" t="s">
        <v>4929</v>
      </c>
      <c r="R7" s="9" t="s">
        <v>94</v>
      </c>
      <c r="S7" s="14"/>
    </row>
    <row r="8" customFormat="false" ht="15" hidden="false" customHeight="true" outlineLevel="0" collapsed="false">
      <c r="A8" s="9" t="s">
        <v>1589</v>
      </c>
      <c r="B8" s="9" t="s">
        <v>4930</v>
      </c>
      <c r="C8" s="9" t="s">
        <v>4894</v>
      </c>
      <c r="D8" s="9" t="s">
        <v>4931</v>
      </c>
      <c r="E8" s="9" t="s">
        <v>4932</v>
      </c>
      <c r="F8" s="9" t="s">
        <v>1134</v>
      </c>
      <c r="G8" s="9" t="s">
        <v>4933</v>
      </c>
      <c r="H8" s="9" t="s">
        <v>4934</v>
      </c>
      <c r="I8" s="9" t="s">
        <v>4919</v>
      </c>
      <c r="J8" s="9" t="s">
        <v>4935</v>
      </c>
      <c r="K8" s="9" t="s">
        <v>4900</v>
      </c>
      <c r="L8" s="9" t="s">
        <v>4936</v>
      </c>
      <c r="M8" s="9" t="n">
        <v>3</v>
      </c>
      <c r="N8" s="9" t="n">
        <v>12</v>
      </c>
      <c r="O8" s="9" t="n">
        <v>4.6</v>
      </c>
      <c r="P8" s="9" t="s">
        <v>1588</v>
      </c>
      <c r="Q8" s="9" t="s">
        <v>4937</v>
      </c>
      <c r="R8" s="9" t="s">
        <v>94</v>
      </c>
      <c r="S8" s="14"/>
    </row>
    <row r="9" customFormat="false" ht="15" hidden="false" customHeight="true" outlineLevel="0" collapsed="false">
      <c r="A9" s="9" t="s">
        <v>2085</v>
      </c>
      <c r="B9" s="9" t="s">
        <v>4938</v>
      </c>
      <c r="C9" s="9" t="s">
        <v>4904</v>
      </c>
      <c r="D9" s="9" t="s">
        <v>4939</v>
      </c>
      <c r="E9" s="9" t="s">
        <v>4884</v>
      </c>
      <c r="F9" s="9" t="s">
        <v>1137</v>
      </c>
      <c r="G9" s="9" t="s">
        <v>4940</v>
      </c>
      <c r="H9" s="9" t="s">
        <v>2089</v>
      </c>
      <c r="I9" s="9" t="s">
        <v>4876</v>
      </c>
      <c r="J9" s="9" t="s">
        <v>4874</v>
      </c>
      <c r="K9" s="9" t="s">
        <v>4941</v>
      </c>
      <c r="L9" s="9" t="s">
        <v>4942</v>
      </c>
      <c r="M9" s="9" t="n">
        <v>8</v>
      </c>
      <c r="N9" s="9" t="n">
        <v>57</v>
      </c>
      <c r="O9" s="9" t="n">
        <v>4.8</v>
      </c>
      <c r="P9" s="9" t="s">
        <v>1576</v>
      </c>
      <c r="Q9" s="9" t="s">
        <v>4943</v>
      </c>
      <c r="R9" s="9" t="s">
        <v>4891</v>
      </c>
      <c r="S9" s="14"/>
    </row>
    <row r="10" customFormat="false" ht="15" hidden="false" customHeight="true" outlineLevel="0" collapsed="false">
      <c r="A10" s="9" t="s">
        <v>128</v>
      </c>
      <c r="B10" s="9" t="s">
        <v>4944</v>
      </c>
      <c r="C10" s="9" t="s">
        <v>4882</v>
      </c>
      <c r="D10" s="9" t="s">
        <v>4945</v>
      </c>
      <c r="E10" s="9" t="s">
        <v>4946</v>
      </c>
      <c r="F10" s="9" t="s">
        <v>1133</v>
      </c>
      <c r="G10" s="9" t="s">
        <v>4947</v>
      </c>
      <c r="H10" s="9" t="s">
        <v>4948</v>
      </c>
      <c r="I10" s="9" t="s">
        <v>4886</v>
      </c>
      <c r="J10" s="9" t="s">
        <v>4949</v>
      </c>
      <c r="K10" s="9" t="s">
        <v>4950</v>
      </c>
      <c r="L10" s="9" t="s">
        <v>4951</v>
      </c>
      <c r="M10" s="9" t="n">
        <v>13</v>
      </c>
      <c r="N10" s="9" t="n">
        <v>71</v>
      </c>
      <c r="O10" s="9" t="n">
        <v>4.8</v>
      </c>
      <c r="P10" s="9" t="s">
        <v>1649</v>
      </c>
      <c r="Q10" s="9" t="s">
        <v>4952</v>
      </c>
      <c r="R10" s="9" t="s">
        <v>4879</v>
      </c>
      <c r="S10" s="14"/>
    </row>
    <row r="11" customFormat="false" ht="15" hidden="false" customHeight="true" outlineLevel="0" collapsed="false">
      <c r="A11" s="9" t="s">
        <v>299</v>
      </c>
      <c r="B11" s="9" t="s">
        <v>4953</v>
      </c>
      <c r="C11" s="9" t="s">
        <v>4894</v>
      </c>
      <c r="D11" s="9" t="s">
        <v>4954</v>
      </c>
      <c r="E11" s="9" t="s">
        <v>4955</v>
      </c>
      <c r="F11" s="9" t="s">
        <v>1134</v>
      </c>
      <c r="G11" s="9" t="s">
        <v>4956</v>
      </c>
      <c r="H11" s="9" t="s">
        <v>4957</v>
      </c>
      <c r="I11" s="9" t="s">
        <v>4958</v>
      </c>
      <c r="J11" s="9" t="s">
        <v>4959</v>
      </c>
      <c r="K11" s="9" t="s">
        <v>4960</v>
      </c>
      <c r="L11" s="9" t="s">
        <v>4961</v>
      </c>
      <c r="M11" s="9" t="n">
        <v>7</v>
      </c>
      <c r="N11" s="9" t="n">
        <v>30</v>
      </c>
      <c r="O11" s="9" t="n">
        <v>4.7</v>
      </c>
      <c r="P11" s="9" t="s">
        <v>1661</v>
      </c>
      <c r="Q11" s="9" t="s">
        <v>4962</v>
      </c>
      <c r="R11" s="9" t="s">
        <v>4891</v>
      </c>
      <c r="S11" s="14"/>
    </row>
    <row r="12" customFormat="false" ht="23.25" hidden="false" customHeight="true" outlineLevel="0" collapsed="false">
      <c r="A12" s="9" t="s">
        <v>111</v>
      </c>
      <c r="B12" s="9" t="s">
        <v>4963</v>
      </c>
      <c r="C12" s="9" t="s">
        <v>4871</v>
      </c>
      <c r="D12" s="9" t="s">
        <v>4872</v>
      </c>
      <c r="E12" s="9" t="s">
        <v>113</v>
      </c>
      <c r="F12" s="9" t="s">
        <v>1133</v>
      </c>
      <c r="G12" s="9" t="s">
        <v>4964</v>
      </c>
      <c r="H12" s="9" t="s">
        <v>4965</v>
      </c>
      <c r="I12" s="9" t="s">
        <v>4919</v>
      </c>
      <c r="J12" s="9" t="s">
        <v>4966</v>
      </c>
      <c r="K12" s="9" t="s">
        <v>4967</v>
      </c>
      <c r="L12" s="9" t="s">
        <v>4968</v>
      </c>
      <c r="M12" s="9" t="n">
        <v>12</v>
      </c>
      <c r="N12" s="9" t="n">
        <v>47</v>
      </c>
      <c r="O12" s="9" t="n">
        <v>4.8</v>
      </c>
      <c r="P12" s="9" t="s">
        <v>1612</v>
      </c>
      <c r="Q12" s="9" t="s">
        <v>4969</v>
      </c>
      <c r="R12" s="9" t="s">
        <v>4879</v>
      </c>
      <c r="S12" s="14"/>
    </row>
    <row r="13" customFormat="false" ht="15" hidden="false" customHeight="true" outlineLevel="0" collapsed="false">
      <c r="A13" s="9" t="s">
        <v>1625</v>
      </c>
      <c r="B13" s="9" t="s">
        <v>4970</v>
      </c>
      <c r="C13" s="9" t="s">
        <v>4923</v>
      </c>
      <c r="D13" s="9" t="s">
        <v>4971</v>
      </c>
      <c r="E13" s="9" t="s">
        <v>113</v>
      </c>
      <c r="F13" s="9" t="s">
        <v>1136</v>
      </c>
      <c r="G13" s="9" t="s">
        <v>4972</v>
      </c>
      <c r="H13" s="9" t="s">
        <v>4973</v>
      </c>
      <c r="I13" s="9" t="s">
        <v>4886</v>
      </c>
      <c r="J13" s="9" t="s">
        <v>4522</v>
      </c>
      <c r="K13" s="9" t="s">
        <v>4886</v>
      </c>
      <c r="L13" s="9" t="s">
        <v>4974</v>
      </c>
      <c r="M13" s="9" t="n">
        <v>6</v>
      </c>
      <c r="N13" s="9" t="n">
        <v>20</v>
      </c>
      <c r="O13" s="9" t="n">
        <v>4.6</v>
      </c>
      <c r="P13" s="9" t="s">
        <v>1624</v>
      </c>
      <c r="Q13" s="9" t="s">
        <v>4975</v>
      </c>
      <c r="R13" s="9" t="s">
        <v>4891</v>
      </c>
      <c r="S13" s="14"/>
    </row>
    <row r="14" customFormat="false" ht="23.25" hidden="false" customHeight="true" outlineLevel="0" collapsed="false">
      <c r="A14" s="9" t="s">
        <v>1638</v>
      </c>
      <c r="B14" s="9" t="s">
        <v>4976</v>
      </c>
      <c r="C14" s="9" t="s">
        <v>4904</v>
      </c>
      <c r="D14" s="9" t="s">
        <v>4977</v>
      </c>
      <c r="E14" s="9" t="s">
        <v>113</v>
      </c>
      <c r="F14" s="9" t="s">
        <v>1135</v>
      </c>
      <c r="G14" s="9" t="s">
        <v>4978</v>
      </c>
      <c r="H14" s="9" t="s">
        <v>4979</v>
      </c>
      <c r="I14" s="9" t="s">
        <v>4876</v>
      </c>
      <c r="J14" s="9" t="s">
        <v>2011</v>
      </c>
      <c r="K14" s="9" t="s">
        <v>4980</v>
      </c>
      <c r="L14" s="9" t="s">
        <v>4981</v>
      </c>
      <c r="M14" s="9" t="n">
        <v>9</v>
      </c>
      <c r="N14" s="9" t="n">
        <v>36</v>
      </c>
      <c r="O14" s="9" t="n">
        <v>4.9</v>
      </c>
      <c r="P14" s="9" t="s">
        <v>1637</v>
      </c>
      <c r="Q14" s="9" t="s">
        <v>4982</v>
      </c>
      <c r="R14" s="9" t="s">
        <v>4891</v>
      </c>
      <c r="S14" s="14"/>
    </row>
    <row r="15" customFormat="false" ht="15" hidden="false" customHeight="true" outlineLevel="0" collapsed="false">
      <c r="A15" s="9" t="s">
        <v>1671</v>
      </c>
      <c r="B15" s="9" t="s">
        <v>4983</v>
      </c>
      <c r="C15" s="9" t="s">
        <v>4904</v>
      </c>
      <c r="D15" s="9" t="s">
        <v>4984</v>
      </c>
      <c r="E15" s="9" t="s">
        <v>4985</v>
      </c>
      <c r="F15" s="9" t="s">
        <v>1135</v>
      </c>
      <c r="G15" s="9" t="s">
        <v>4986</v>
      </c>
      <c r="H15" s="9" t="s">
        <v>2813</v>
      </c>
      <c r="I15" s="9" t="s">
        <v>4987</v>
      </c>
      <c r="J15" s="9" t="s">
        <v>4988</v>
      </c>
      <c r="K15" s="9" t="s">
        <v>4876</v>
      </c>
      <c r="L15" s="9" t="s">
        <v>4989</v>
      </c>
      <c r="M15" s="9" t="n">
        <v>9</v>
      </c>
      <c r="N15" s="9" t="n">
        <v>34</v>
      </c>
      <c r="O15" s="9" t="n">
        <v>4.8</v>
      </c>
      <c r="P15" s="9" t="s">
        <v>1670</v>
      </c>
      <c r="Q15" s="9" t="s">
        <v>4990</v>
      </c>
      <c r="R15" s="9" t="s">
        <v>4891</v>
      </c>
      <c r="S15" s="14"/>
    </row>
    <row r="16" customFormat="false" ht="15" hidden="false" customHeight="true" outlineLevel="0" collapsed="false">
      <c r="A16" s="9" t="s">
        <v>1843</v>
      </c>
      <c r="B16" s="9" t="s">
        <v>4991</v>
      </c>
      <c r="C16" s="9" t="s">
        <v>4923</v>
      </c>
      <c r="D16" s="9" t="s">
        <v>4992</v>
      </c>
      <c r="E16" s="9" t="s">
        <v>4993</v>
      </c>
      <c r="F16" s="9" t="s">
        <v>1139</v>
      </c>
      <c r="G16" s="9" t="s">
        <v>4994</v>
      </c>
      <c r="H16" s="9" t="s">
        <v>4995</v>
      </c>
      <c r="I16" s="9" t="s">
        <v>4996</v>
      </c>
      <c r="J16" s="9" t="s">
        <v>4997</v>
      </c>
      <c r="K16" s="9" t="s">
        <v>4900</v>
      </c>
      <c r="L16" s="9" t="s">
        <v>4998</v>
      </c>
      <c r="M16" s="9" t="n">
        <v>6</v>
      </c>
      <c r="N16" s="9" t="n">
        <v>14</v>
      </c>
      <c r="O16" s="9" t="n">
        <v>4.5</v>
      </c>
      <c r="P16" s="9" t="s">
        <v>1628</v>
      </c>
      <c r="Q16" s="9" t="s">
        <v>4999</v>
      </c>
      <c r="R16" s="9" t="s">
        <v>4891</v>
      </c>
      <c r="S16" s="14"/>
    </row>
    <row r="17" customFormat="false" ht="15" hidden="false" customHeight="true" outlineLevel="0" collapsed="false">
      <c r="A17" s="9" t="s">
        <v>180</v>
      </c>
      <c r="B17" s="9" t="s">
        <v>5000</v>
      </c>
      <c r="C17" s="9" t="s">
        <v>4914</v>
      </c>
      <c r="D17" s="9" t="s">
        <v>4905</v>
      </c>
      <c r="E17" s="9" t="s">
        <v>4906</v>
      </c>
      <c r="F17" s="9" t="s">
        <v>1133</v>
      </c>
      <c r="G17" s="9" t="s">
        <v>5001</v>
      </c>
      <c r="H17" s="9" t="s">
        <v>5002</v>
      </c>
      <c r="I17" s="9" t="s">
        <v>5003</v>
      </c>
      <c r="J17" s="9" t="s">
        <v>5004</v>
      </c>
      <c r="K17" s="9" t="s">
        <v>5005</v>
      </c>
      <c r="L17" s="9" t="s">
        <v>5006</v>
      </c>
      <c r="M17" s="9" t="n">
        <v>10</v>
      </c>
      <c r="N17" s="9" t="n">
        <v>26</v>
      </c>
      <c r="O17" s="9" t="n">
        <v>4.9</v>
      </c>
      <c r="P17" s="9" t="s">
        <v>1706</v>
      </c>
      <c r="Q17" s="9" t="s">
        <v>5007</v>
      </c>
      <c r="R17" s="9" t="s">
        <v>4879</v>
      </c>
      <c r="S17" s="14"/>
    </row>
    <row r="18" customFormat="false" ht="15" hidden="false" customHeight="true" outlineLevel="0" collapsed="false">
      <c r="A18" s="9" t="s">
        <v>162</v>
      </c>
      <c r="B18" s="9" t="s">
        <v>5008</v>
      </c>
      <c r="C18" s="9" t="s">
        <v>4882</v>
      </c>
      <c r="D18" s="9" t="s">
        <v>5009</v>
      </c>
      <c r="E18" s="9" t="s">
        <v>5010</v>
      </c>
      <c r="F18" s="9" t="s">
        <v>1137</v>
      </c>
      <c r="G18" s="9" t="s">
        <v>5011</v>
      </c>
      <c r="H18" s="9" t="s">
        <v>5012</v>
      </c>
      <c r="I18" s="9" t="s">
        <v>4917</v>
      </c>
      <c r="J18" s="9" t="s">
        <v>5013</v>
      </c>
      <c r="K18" s="9" t="s">
        <v>4900</v>
      </c>
      <c r="L18" s="9" t="s">
        <v>4951</v>
      </c>
      <c r="M18" s="9" t="n">
        <v>3</v>
      </c>
      <c r="N18" s="9" t="n">
        <v>8</v>
      </c>
      <c r="O18" s="9" t="n">
        <v>4.9</v>
      </c>
      <c r="P18" s="9" t="s">
        <v>1695</v>
      </c>
      <c r="Q18" s="9" t="s">
        <v>5014</v>
      </c>
      <c r="R18" s="9" t="s">
        <v>94</v>
      </c>
      <c r="S18" s="14"/>
    </row>
    <row r="19" customFormat="false" ht="15" hidden="false" customHeight="true" outlineLevel="0" collapsed="false">
      <c r="A19" s="9" t="s">
        <v>92</v>
      </c>
      <c r="B19" s="9" t="s">
        <v>5015</v>
      </c>
      <c r="C19" s="9" t="s">
        <v>4894</v>
      </c>
      <c r="D19" s="9" t="s">
        <v>5016</v>
      </c>
      <c r="E19" s="9" t="s">
        <v>4985</v>
      </c>
      <c r="F19" s="9" t="s">
        <v>1135</v>
      </c>
      <c r="G19" s="9" t="s">
        <v>5017</v>
      </c>
      <c r="H19" s="9" t="s">
        <v>4757</v>
      </c>
      <c r="I19" s="9" t="s">
        <v>4917</v>
      </c>
      <c r="J19" s="9" t="s">
        <v>5018</v>
      </c>
      <c r="K19" s="9" t="s">
        <v>5019</v>
      </c>
      <c r="L19" s="9" t="s">
        <v>5020</v>
      </c>
      <c r="M19" s="9" t="n">
        <v>5</v>
      </c>
      <c r="N19" s="9" t="n">
        <v>15</v>
      </c>
      <c r="O19" s="9" t="n">
        <v>4.8</v>
      </c>
      <c r="P19" s="9" t="s">
        <v>1601</v>
      </c>
      <c r="Q19" s="9" t="s">
        <v>5021</v>
      </c>
      <c r="R19" s="9" t="s">
        <v>4891</v>
      </c>
      <c r="S19" s="14"/>
    </row>
    <row r="20" customFormat="false" ht="15" hidden="false" customHeight="true" outlineLevel="0" collapsed="false">
      <c r="A20" s="9" t="s">
        <v>330</v>
      </c>
      <c r="B20" s="9" t="s">
        <v>5022</v>
      </c>
      <c r="C20" s="9" t="s">
        <v>4904</v>
      </c>
      <c r="D20" s="9" t="s">
        <v>5023</v>
      </c>
      <c r="E20" s="9" t="s">
        <v>113</v>
      </c>
      <c r="F20" s="9" t="s">
        <v>1140</v>
      </c>
      <c r="G20" s="9" t="s">
        <v>5024</v>
      </c>
      <c r="H20" s="9" t="s">
        <v>5025</v>
      </c>
      <c r="I20" s="9" t="s">
        <v>5026</v>
      </c>
      <c r="J20" s="9" t="s">
        <v>5027</v>
      </c>
      <c r="K20" s="9" t="s">
        <v>5028</v>
      </c>
      <c r="L20" s="9" t="s">
        <v>5029</v>
      </c>
      <c r="M20" s="9" t="n">
        <v>7</v>
      </c>
      <c r="N20" s="9" t="n">
        <v>24</v>
      </c>
      <c r="O20" s="9" t="n">
        <v>4.7</v>
      </c>
      <c r="P20" s="9" t="s">
        <v>1729</v>
      </c>
      <c r="Q20" s="9" t="s">
        <v>5030</v>
      </c>
      <c r="R20" s="9" t="s">
        <v>4891</v>
      </c>
      <c r="S20" s="14"/>
    </row>
    <row r="21" customFormat="false" ht="23.25" hidden="false" customHeight="true" outlineLevel="0" collapsed="false">
      <c r="A21" s="9" t="s">
        <v>248</v>
      </c>
      <c r="B21" s="9" t="s">
        <v>5031</v>
      </c>
      <c r="C21" s="9" t="s">
        <v>4871</v>
      </c>
      <c r="D21" s="9" t="s">
        <v>5032</v>
      </c>
      <c r="E21" s="9" t="s">
        <v>113</v>
      </c>
      <c r="F21" s="9" t="s">
        <v>1137</v>
      </c>
      <c r="G21" s="9" t="s">
        <v>5033</v>
      </c>
      <c r="H21" s="9" t="s">
        <v>5034</v>
      </c>
      <c r="I21" s="9" t="s">
        <v>5035</v>
      </c>
      <c r="J21" s="9" t="s">
        <v>5036</v>
      </c>
      <c r="K21" s="9" t="s">
        <v>4900</v>
      </c>
      <c r="L21" s="9" t="s">
        <v>5037</v>
      </c>
      <c r="M21" s="9" t="n">
        <v>8</v>
      </c>
      <c r="N21" s="9" t="n">
        <v>31</v>
      </c>
      <c r="O21" s="9" t="n">
        <v>4.9</v>
      </c>
      <c r="P21" s="9" t="s">
        <v>1774</v>
      </c>
      <c r="Q21" s="9" t="s">
        <v>5038</v>
      </c>
      <c r="R21" s="9" t="s">
        <v>4891</v>
      </c>
      <c r="S21" s="14"/>
    </row>
    <row r="22" customFormat="false" ht="15" hidden="false" customHeight="true" outlineLevel="0" collapsed="false">
      <c r="A22" s="9" t="s">
        <v>5039</v>
      </c>
      <c r="B22" s="9" t="s">
        <v>5040</v>
      </c>
      <c r="C22" s="9" t="s">
        <v>4914</v>
      </c>
      <c r="D22" s="9" t="s">
        <v>5041</v>
      </c>
      <c r="E22" s="9" t="s">
        <v>113</v>
      </c>
      <c r="F22" s="9" t="s">
        <v>1135</v>
      </c>
      <c r="G22" s="9" t="s">
        <v>5042</v>
      </c>
      <c r="H22" s="9" t="s">
        <v>5043</v>
      </c>
      <c r="I22" s="9" t="s">
        <v>5044</v>
      </c>
      <c r="J22" s="9" t="s">
        <v>3516</v>
      </c>
      <c r="K22" s="9" t="s">
        <v>5045</v>
      </c>
      <c r="L22" s="9" t="s">
        <v>5046</v>
      </c>
      <c r="M22" s="9" t="n">
        <v>5</v>
      </c>
      <c r="N22" s="9" t="n">
        <v>19</v>
      </c>
      <c r="O22" s="9" t="n">
        <v>4.7</v>
      </c>
      <c r="P22" s="9" t="s">
        <v>1751</v>
      </c>
      <c r="Q22" s="9" t="s">
        <v>5047</v>
      </c>
      <c r="R22" s="9" t="s">
        <v>4891</v>
      </c>
      <c r="S22" s="14"/>
    </row>
    <row r="23" customFormat="false" ht="15" hidden="false" customHeight="true" outlineLevel="0" collapsed="false">
      <c r="A23" s="9" t="s">
        <v>5048</v>
      </c>
      <c r="B23" s="9" t="s">
        <v>5049</v>
      </c>
      <c r="C23" s="9" t="s">
        <v>4923</v>
      </c>
      <c r="D23" s="9" t="s">
        <v>4872</v>
      </c>
      <c r="E23" s="9" t="s">
        <v>113</v>
      </c>
      <c r="F23" s="9" t="s">
        <v>1140</v>
      </c>
      <c r="G23" s="9" t="s">
        <v>5050</v>
      </c>
      <c r="H23" s="9" t="s">
        <v>5051</v>
      </c>
      <c r="I23" s="9" t="s">
        <v>5052</v>
      </c>
      <c r="J23" s="9" t="s">
        <v>1628</v>
      </c>
      <c r="K23" s="9"/>
      <c r="L23" s="9" t="s">
        <v>5053</v>
      </c>
      <c r="M23" s="9" t="n">
        <v>2</v>
      </c>
      <c r="N23" s="9" t="n">
        <v>6</v>
      </c>
      <c r="O23" s="9" t="n">
        <v>4.6</v>
      </c>
      <c r="P23" s="9" t="s">
        <v>1763</v>
      </c>
      <c r="Q23" s="9" t="s">
        <v>5054</v>
      </c>
      <c r="R23" s="9" t="s">
        <v>94</v>
      </c>
      <c r="S23" s="14"/>
    </row>
    <row r="24" customFormat="false" ht="15" hidden="false" customHeight="true" outlineLevel="0" collapsed="false">
      <c r="A24" s="9" t="s">
        <v>1718</v>
      </c>
      <c r="B24" s="9" t="s">
        <v>5055</v>
      </c>
      <c r="C24" s="9" t="s">
        <v>4882</v>
      </c>
      <c r="D24" s="9" t="s">
        <v>4977</v>
      </c>
      <c r="E24" s="9" t="s">
        <v>113</v>
      </c>
      <c r="F24" s="9" t="s">
        <v>1136</v>
      </c>
      <c r="G24" s="9" t="s">
        <v>5056</v>
      </c>
      <c r="H24" s="9" t="s">
        <v>5057</v>
      </c>
      <c r="I24" s="9" t="s">
        <v>4886</v>
      </c>
      <c r="J24" s="9" t="s">
        <v>4522</v>
      </c>
      <c r="K24" s="9" t="s">
        <v>4886</v>
      </c>
      <c r="L24" s="9" t="s">
        <v>5058</v>
      </c>
      <c r="M24" s="9" t="n">
        <v>9</v>
      </c>
      <c r="N24" s="9" t="n">
        <v>40</v>
      </c>
      <c r="O24" s="9" t="n">
        <v>4.8</v>
      </c>
      <c r="P24" s="9" t="s">
        <v>1717</v>
      </c>
      <c r="Q24" s="9" t="s">
        <v>5059</v>
      </c>
      <c r="R24" s="9" t="s">
        <v>4891</v>
      </c>
      <c r="S24" s="14"/>
    </row>
    <row r="25" customFormat="false" ht="15" hidden="false" customHeight="true" outlineLevel="0" collapsed="false">
      <c r="A25" s="9" t="s">
        <v>215</v>
      </c>
      <c r="B25" s="9" t="s">
        <v>5060</v>
      </c>
      <c r="C25" s="9" t="s">
        <v>4894</v>
      </c>
      <c r="D25" s="9" t="s">
        <v>5061</v>
      </c>
      <c r="E25" s="9" t="s">
        <v>113</v>
      </c>
      <c r="F25" s="9" t="s">
        <v>1138</v>
      </c>
      <c r="G25" s="9" t="s">
        <v>5062</v>
      </c>
      <c r="H25" s="9" t="s">
        <v>5063</v>
      </c>
      <c r="I25" s="9" t="s">
        <v>4898</v>
      </c>
      <c r="J25" s="9" t="s">
        <v>2023</v>
      </c>
      <c r="K25" s="9" t="s">
        <v>5064</v>
      </c>
      <c r="L25" s="9" t="s">
        <v>5065</v>
      </c>
      <c r="M25" s="9" t="n">
        <v>8</v>
      </c>
      <c r="N25" s="9" t="n">
        <v>29</v>
      </c>
      <c r="O25" s="9" t="n">
        <v>4.8</v>
      </c>
      <c r="P25" s="9" t="s">
        <v>1751</v>
      </c>
      <c r="Q25" s="9" t="s">
        <v>5066</v>
      </c>
      <c r="R25" s="9" t="s">
        <v>4891</v>
      </c>
      <c r="S25" s="14"/>
    </row>
    <row r="26" customFormat="false" ht="15" hidden="false" customHeight="true" outlineLevel="0" collapsed="false">
      <c r="A26" s="9" t="s">
        <v>232</v>
      </c>
      <c r="B26" s="9" t="s">
        <v>5067</v>
      </c>
      <c r="C26" s="9" t="s">
        <v>4923</v>
      </c>
      <c r="D26" s="9" t="s">
        <v>4872</v>
      </c>
      <c r="E26" s="9" t="s">
        <v>113</v>
      </c>
      <c r="F26" s="9" t="s">
        <v>1134</v>
      </c>
      <c r="G26" s="9" t="s">
        <v>5068</v>
      </c>
      <c r="H26" s="9" t="s">
        <v>2284</v>
      </c>
      <c r="I26" s="9" t="s">
        <v>4941</v>
      </c>
      <c r="J26" s="9" t="s">
        <v>3733</v>
      </c>
      <c r="K26" s="9" t="s">
        <v>4900</v>
      </c>
      <c r="L26" s="9" t="s">
        <v>5069</v>
      </c>
      <c r="M26" s="9" t="n">
        <v>7</v>
      </c>
      <c r="N26" s="9" t="n">
        <v>21</v>
      </c>
      <c r="O26" s="9" t="n">
        <v>4.7</v>
      </c>
      <c r="P26" s="9" t="s">
        <v>1763</v>
      </c>
      <c r="Q26" s="9" t="s">
        <v>5070</v>
      </c>
      <c r="R26" s="9" t="s">
        <v>4891</v>
      </c>
      <c r="S26" s="14"/>
    </row>
    <row r="27" customFormat="false" ht="15" hidden="false" customHeight="true" outlineLevel="0" collapsed="false">
      <c r="A27" s="9" t="s">
        <v>198</v>
      </c>
      <c r="B27" s="9" t="s">
        <v>5071</v>
      </c>
      <c r="C27" s="9" t="s">
        <v>4904</v>
      </c>
      <c r="D27" s="9" t="s">
        <v>5072</v>
      </c>
      <c r="E27" s="9" t="s">
        <v>113</v>
      </c>
      <c r="F27" s="9" t="s">
        <v>1133</v>
      </c>
      <c r="G27" s="9" t="s">
        <v>5073</v>
      </c>
      <c r="H27" s="9" t="s">
        <v>5074</v>
      </c>
      <c r="I27" s="9" t="s">
        <v>4888</v>
      </c>
      <c r="J27" s="9" t="s">
        <v>5075</v>
      </c>
      <c r="K27" s="9" t="s">
        <v>4909</v>
      </c>
      <c r="L27" s="9" t="s">
        <v>5076</v>
      </c>
      <c r="M27" s="9" t="n">
        <v>11</v>
      </c>
      <c r="N27" s="9" t="n">
        <v>52</v>
      </c>
      <c r="O27" s="9" t="n">
        <v>4.9</v>
      </c>
      <c r="P27" s="9" t="s">
        <v>1729</v>
      </c>
      <c r="Q27" s="9" t="s">
        <v>5077</v>
      </c>
      <c r="R27" s="9" t="s">
        <v>4879</v>
      </c>
      <c r="S27" s="14"/>
    </row>
    <row r="28" customFormat="false" ht="15" hidden="false" customHeight="true" outlineLevel="0" collapsed="false">
      <c r="A28" s="9" t="s">
        <v>1741</v>
      </c>
      <c r="B28" s="9" t="s">
        <v>5078</v>
      </c>
      <c r="C28" s="9" t="s">
        <v>4871</v>
      </c>
      <c r="D28" s="9" t="s">
        <v>5079</v>
      </c>
      <c r="E28" s="9" t="s">
        <v>113</v>
      </c>
      <c r="F28" s="9" t="s">
        <v>1134</v>
      </c>
      <c r="G28" s="9" t="s">
        <v>5080</v>
      </c>
      <c r="H28" s="9" t="s">
        <v>5081</v>
      </c>
      <c r="I28" s="9" t="s">
        <v>4900</v>
      </c>
      <c r="J28" s="9" t="s">
        <v>1744</v>
      </c>
      <c r="K28" s="9" t="s">
        <v>5082</v>
      </c>
      <c r="L28" s="9" t="s">
        <v>5083</v>
      </c>
      <c r="M28" s="9" t="n">
        <v>4</v>
      </c>
      <c r="N28" s="9" t="n">
        <v>11</v>
      </c>
      <c r="O28" s="9" t="n">
        <v>4.5</v>
      </c>
      <c r="P28" s="9" t="s">
        <v>1740</v>
      </c>
      <c r="Q28" s="9" t="s">
        <v>5084</v>
      </c>
      <c r="R28" s="9" t="s">
        <v>94</v>
      </c>
      <c r="S28" s="14"/>
    </row>
    <row r="29" customFormat="false" ht="15" hidden="false" customHeight="true" outlineLevel="0" collapsed="false">
      <c r="A29" s="9" t="s">
        <v>265</v>
      </c>
      <c r="B29" s="9" t="s">
        <v>5085</v>
      </c>
      <c r="C29" s="9" t="s">
        <v>4904</v>
      </c>
      <c r="D29" s="9" t="s">
        <v>4905</v>
      </c>
      <c r="E29" s="9" t="s">
        <v>4906</v>
      </c>
      <c r="F29" s="9" t="s">
        <v>1136</v>
      </c>
      <c r="G29" s="9" t="s">
        <v>5086</v>
      </c>
      <c r="H29" s="9" t="s">
        <v>5087</v>
      </c>
      <c r="I29" s="9" t="s">
        <v>4886</v>
      </c>
      <c r="J29" s="9" t="s">
        <v>884</v>
      </c>
      <c r="K29" s="9" t="s">
        <v>4900</v>
      </c>
      <c r="L29" s="9" t="s">
        <v>5088</v>
      </c>
      <c r="M29" s="9" t="n">
        <v>4</v>
      </c>
      <c r="N29" s="9" t="n">
        <v>9</v>
      </c>
      <c r="O29" s="9" t="n">
        <v>4.6</v>
      </c>
      <c r="P29" s="9" t="s">
        <v>1786</v>
      </c>
      <c r="Q29" s="9" t="s">
        <v>5089</v>
      </c>
      <c r="R29" s="9" t="s">
        <v>94</v>
      </c>
      <c r="S29" s="14"/>
    </row>
    <row r="30" customFormat="false" ht="15" hidden="false" customHeight="true" outlineLevel="0" collapsed="false">
      <c r="A30" s="9" t="s">
        <v>347</v>
      </c>
      <c r="B30" s="9" t="s">
        <v>5090</v>
      </c>
      <c r="C30" s="9" t="s">
        <v>4882</v>
      </c>
      <c r="D30" s="9" t="s">
        <v>5091</v>
      </c>
      <c r="E30" s="9" t="s">
        <v>5092</v>
      </c>
      <c r="F30" s="9" t="s">
        <v>1139</v>
      </c>
      <c r="G30" s="9" t="s">
        <v>5093</v>
      </c>
      <c r="H30" s="9" t="s">
        <v>4995</v>
      </c>
      <c r="I30" s="9" t="s">
        <v>5094</v>
      </c>
      <c r="J30" s="9" t="s">
        <v>4725</v>
      </c>
      <c r="K30" s="9" t="s">
        <v>4917</v>
      </c>
      <c r="L30" s="9" t="s">
        <v>5095</v>
      </c>
      <c r="M30" s="9" t="n">
        <v>9</v>
      </c>
      <c r="N30" s="9" t="n">
        <v>30</v>
      </c>
      <c r="O30" s="9" t="n">
        <v>4.9</v>
      </c>
      <c r="P30" s="9" t="s">
        <v>1628</v>
      </c>
      <c r="Q30" s="9" t="s">
        <v>5096</v>
      </c>
      <c r="R30" s="9" t="s">
        <v>4891</v>
      </c>
      <c r="S30" s="14"/>
    </row>
    <row r="31" customFormat="false" ht="15" hidden="false" customHeight="true" outlineLevel="0" collapsed="false">
      <c r="A31" s="9" t="s">
        <v>282</v>
      </c>
      <c r="B31" s="9" t="s">
        <v>5097</v>
      </c>
      <c r="C31" s="9" t="s">
        <v>4871</v>
      </c>
      <c r="D31" s="9" t="s">
        <v>5098</v>
      </c>
      <c r="E31" s="9" t="s">
        <v>5010</v>
      </c>
      <c r="F31" s="9" t="s">
        <v>1138</v>
      </c>
      <c r="G31" s="9" t="s">
        <v>5099</v>
      </c>
      <c r="H31" s="9" t="s">
        <v>3233</v>
      </c>
      <c r="I31" s="9" t="s">
        <v>5100</v>
      </c>
      <c r="J31" s="9" t="s">
        <v>5101</v>
      </c>
      <c r="K31" s="9" t="s">
        <v>4900</v>
      </c>
      <c r="L31" s="9" t="s">
        <v>4951</v>
      </c>
      <c r="M31" s="9" t="n">
        <v>4</v>
      </c>
      <c r="N31" s="9" t="n">
        <v>13</v>
      </c>
      <c r="O31" s="9" t="n">
        <v>4.6</v>
      </c>
      <c r="P31" s="9" t="s">
        <v>1798</v>
      </c>
      <c r="Q31" s="9" t="s">
        <v>5102</v>
      </c>
      <c r="R31" s="9" t="s">
        <v>94</v>
      </c>
      <c r="S31" s="14"/>
    </row>
  </sheetData>
  <autoFilter ref="A1:S31"/>
  <dataValidations count="3">
    <dataValidation allowBlank="true" errorStyle="stop" operator="between" showDropDown="false" showErrorMessage="false" showInputMessage="false" sqref="C2:C1000" type="list">
      <formula1>"blob,cube,cone,star,drop,pill"</formula1>
      <formula2>0</formula2>
    </dataValidation>
    <dataValidation allowBlank="true" errorStyle="stop" operator="between" showDropDown="false" showErrorMessage="false" showInputMessage="false" sqref="F2:F1000" type="list">
      <formula1>"Leader,Planner,Expert,Maker,Checker,Storyteller,Patron,User"</formula1>
      <formula2>0</formula2>
    </dataValidation>
    <dataValidation allowBlank="true" errorStyle="stop" operator="between" showDropDown="false" showErrorMessage="false" showInputMessage="false" sqref="R2:R1000" type="list">
      <formula1>"Star,Regular,New"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3" min="3" style="1" width="16"/>
    <col collapsed="false" customWidth="true" hidden="false" outlineLevel="0" max="4" min="4" style="1" width="56"/>
    <col collapsed="false" customWidth="true" hidden="false" outlineLevel="0" max="5" min="5" style="1" width="38"/>
    <col collapsed="false" customWidth="true" hidden="false" outlineLevel="0" max="6" min="6" style="1" width="12"/>
    <col collapsed="false" customWidth="true" hidden="false" outlineLevel="0" max="7" min="7" style="1" width="30"/>
  </cols>
  <sheetData>
    <row r="1" customFormat="false" ht="31.5" hidden="false" customHeight="true" outlineLevel="0" collapsed="false">
      <c r="A1" s="7" t="s">
        <v>5103</v>
      </c>
      <c r="B1" s="7" t="s">
        <v>5104</v>
      </c>
      <c r="C1" s="7" t="s">
        <v>5105</v>
      </c>
      <c r="D1" s="7" t="s">
        <v>5106</v>
      </c>
      <c r="E1" s="7" t="s">
        <v>5107</v>
      </c>
      <c r="F1" s="7" t="s">
        <v>41</v>
      </c>
      <c r="G1" s="7" t="s">
        <v>66</v>
      </c>
    </row>
    <row r="2" customFormat="false" ht="15" hidden="false" customHeight="true" outlineLevel="0" collapsed="false">
      <c r="A2" s="9" t="s">
        <v>5108</v>
      </c>
      <c r="B2" s="9" t="s">
        <v>5109</v>
      </c>
      <c r="C2" s="9" t="s">
        <v>5110</v>
      </c>
      <c r="D2" s="9" t="s">
        <v>5111</v>
      </c>
      <c r="E2" s="9" t="s">
        <v>5112</v>
      </c>
      <c r="F2" s="9" t="s">
        <v>67</v>
      </c>
      <c r="G2" s="14"/>
    </row>
    <row r="3" customFormat="false" ht="15" hidden="false" customHeight="true" outlineLevel="0" collapsed="false">
      <c r="A3" s="9" t="s">
        <v>5113</v>
      </c>
      <c r="B3" s="9" t="s">
        <v>5109</v>
      </c>
      <c r="C3" s="9" t="s">
        <v>5114</v>
      </c>
      <c r="D3" s="9" t="s">
        <v>5115</v>
      </c>
      <c r="E3" s="9" t="s">
        <v>5116</v>
      </c>
      <c r="F3" s="9" t="s">
        <v>67</v>
      </c>
      <c r="G3" s="14"/>
    </row>
    <row r="4" customFormat="false" ht="15" hidden="false" customHeight="true" outlineLevel="0" collapsed="false">
      <c r="A4" s="9" t="s">
        <v>5108</v>
      </c>
      <c r="B4" s="9" t="s">
        <v>5109</v>
      </c>
      <c r="C4" s="9" t="s">
        <v>5110</v>
      </c>
      <c r="D4" s="9" t="s">
        <v>5117</v>
      </c>
      <c r="E4" s="9" t="s">
        <v>5118</v>
      </c>
      <c r="F4" s="9" t="s">
        <v>227</v>
      </c>
      <c r="G4" s="14"/>
    </row>
    <row r="5" customFormat="false" ht="15" hidden="false" customHeight="true" outlineLevel="0" collapsed="false">
      <c r="A5" s="9" t="s">
        <v>5119</v>
      </c>
      <c r="B5" s="9" t="s">
        <v>5109</v>
      </c>
      <c r="C5" s="9" t="s">
        <v>5114</v>
      </c>
      <c r="D5" s="9" t="s">
        <v>5120</v>
      </c>
      <c r="E5" s="9" t="s">
        <v>5121</v>
      </c>
      <c r="F5" s="9" t="s">
        <v>193</v>
      </c>
      <c r="G5" s="14"/>
    </row>
    <row r="6" customFormat="false" ht="23.25" hidden="false" customHeight="true" outlineLevel="0" collapsed="false">
      <c r="A6" s="9" t="s">
        <v>5122</v>
      </c>
      <c r="B6" s="9" t="s">
        <v>5123</v>
      </c>
      <c r="C6" s="9" t="s">
        <v>5124</v>
      </c>
      <c r="D6" s="9" t="s">
        <v>5125</v>
      </c>
      <c r="E6" s="9" t="s">
        <v>5126</v>
      </c>
      <c r="F6" s="9" t="s">
        <v>104</v>
      </c>
      <c r="G6" s="14"/>
    </row>
    <row r="7" customFormat="false" ht="15" hidden="false" customHeight="true" outlineLevel="0" collapsed="false">
      <c r="A7" s="9" t="s">
        <v>5127</v>
      </c>
      <c r="B7" s="9" t="s">
        <v>5109</v>
      </c>
      <c r="C7" s="9" t="s">
        <v>5114</v>
      </c>
      <c r="D7" s="9" t="s">
        <v>5128</v>
      </c>
      <c r="E7" s="9" t="s">
        <v>5129</v>
      </c>
      <c r="F7" s="9" t="s">
        <v>124</v>
      </c>
      <c r="G7" s="14"/>
    </row>
    <row r="8" customFormat="false" ht="15" hidden="false" customHeight="true" outlineLevel="0" collapsed="false">
      <c r="A8" s="9" t="s">
        <v>5130</v>
      </c>
      <c r="B8" s="9" t="s">
        <v>5109</v>
      </c>
      <c r="C8" s="9" t="s">
        <v>5114</v>
      </c>
      <c r="D8" s="9" t="s">
        <v>5131</v>
      </c>
      <c r="E8" s="9" t="s">
        <v>5132</v>
      </c>
      <c r="F8" s="9" t="s">
        <v>174</v>
      </c>
      <c r="G8" s="14"/>
    </row>
    <row r="9" customFormat="false" ht="15" hidden="false" customHeight="true" outlineLevel="0" collapsed="false">
      <c r="A9" s="9" t="s">
        <v>5133</v>
      </c>
      <c r="B9" s="9" t="s">
        <v>5109</v>
      </c>
      <c r="C9" s="9" t="s">
        <v>5134</v>
      </c>
      <c r="D9" s="9" t="s">
        <v>5135</v>
      </c>
      <c r="E9" s="9" t="s">
        <v>5136</v>
      </c>
      <c r="F9" s="9" t="s">
        <v>139</v>
      </c>
      <c r="G9" s="14"/>
    </row>
    <row r="10" customFormat="false" ht="15" hidden="false" customHeight="true" outlineLevel="0" collapsed="false">
      <c r="A10" s="9" t="s">
        <v>5108</v>
      </c>
      <c r="B10" s="9" t="s">
        <v>5109</v>
      </c>
      <c r="C10" s="9" t="s">
        <v>5137</v>
      </c>
      <c r="D10" s="9" t="s">
        <v>5138</v>
      </c>
      <c r="E10" s="9" t="s">
        <v>5139</v>
      </c>
      <c r="F10" s="9" t="s">
        <v>157</v>
      </c>
      <c r="G10" s="14"/>
    </row>
    <row r="11" customFormat="false" ht="15" hidden="false" customHeight="true" outlineLevel="0" collapsed="false">
      <c r="A11" s="9" t="s">
        <v>5140</v>
      </c>
      <c r="B11" s="9" t="s">
        <v>5109</v>
      </c>
      <c r="C11" s="9" t="s">
        <v>5114</v>
      </c>
      <c r="D11" s="9" t="s">
        <v>5141</v>
      </c>
      <c r="E11" s="9" t="s">
        <v>5142</v>
      </c>
      <c r="F11" s="9" t="s">
        <v>210</v>
      </c>
      <c r="G11" s="14"/>
    </row>
    <row r="12" customFormat="false" ht="15" hidden="false" customHeight="true" outlineLevel="0" collapsed="false">
      <c r="A12" s="9" t="s">
        <v>5143</v>
      </c>
      <c r="B12" s="9" t="s">
        <v>5109</v>
      </c>
      <c r="C12" s="9" t="s">
        <v>5114</v>
      </c>
      <c r="D12" s="9" t="s">
        <v>5144</v>
      </c>
      <c r="E12" s="9" t="s">
        <v>5145</v>
      </c>
      <c r="F12" s="9" t="s">
        <v>87</v>
      </c>
      <c r="G12" s="14"/>
    </row>
    <row r="13" customFormat="false" ht="15" hidden="false" customHeight="true" outlineLevel="0" collapsed="false">
      <c r="A13" s="9" t="s">
        <v>5108</v>
      </c>
      <c r="B13" s="9" t="s">
        <v>5109</v>
      </c>
      <c r="C13" s="9" t="s">
        <v>5146</v>
      </c>
      <c r="D13" s="9" t="s">
        <v>5147</v>
      </c>
      <c r="E13" s="9" t="s">
        <v>5148</v>
      </c>
      <c r="F13" s="9" t="s">
        <v>227</v>
      </c>
      <c r="G13" s="14"/>
    </row>
    <row r="14" customFormat="false" ht="15" hidden="false" customHeight="true" outlineLevel="0" collapsed="false">
      <c r="A14" s="9" t="s">
        <v>5109</v>
      </c>
      <c r="B14" s="9" t="s">
        <v>4892</v>
      </c>
      <c r="C14" s="9" t="s">
        <v>5114</v>
      </c>
      <c r="D14" s="9" t="s">
        <v>5149</v>
      </c>
      <c r="E14" s="9" t="s">
        <v>5150</v>
      </c>
      <c r="F14" s="9" t="s">
        <v>67</v>
      </c>
      <c r="G14" s="14"/>
    </row>
  </sheetData>
  <autoFilter ref="A1: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0"/>
    <col collapsed="false" customWidth="true" hidden="false" outlineLevel="0" max="3" min="3" style="1" width="12"/>
    <col collapsed="false" customWidth="true" hidden="false" outlineLevel="0" max="4" min="4" style="1" width="8"/>
    <col collapsed="false" customWidth="true" hidden="false" outlineLevel="0" max="5" min="5" style="1" width="7"/>
    <col collapsed="false" customWidth="true" hidden="false" outlineLevel="0" max="6" min="6" style="1" width="26"/>
    <col collapsed="false" customWidth="true" hidden="false" outlineLevel="0" max="7" min="7" style="1" width="50"/>
    <col collapsed="false" customWidth="true" hidden="false" outlineLevel="0" max="8" min="8" style="1" width="30"/>
  </cols>
  <sheetData>
    <row r="1" customFormat="false" ht="31.5" hidden="false" customHeight="true" outlineLevel="0" collapsed="false">
      <c r="A1" s="7" t="s">
        <v>41</v>
      </c>
      <c r="B1" s="7" t="s">
        <v>5151</v>
      </c>
      <c r="C1" s="7" t="s">
        <v>5152</v>
      </c>
      <c r="D1" s="7" t="s">
        <v>49</v>
      </c>
      <c r="E1" s="7" t="s">
        <v>1962</v>
      </c>
      <c r="F1" s="7" t="s">
        <v>5153</v>
      </c>
      <c r="G1" s="7" t="s">
        <v>5154</v>
      </c>
      <c r="H1" s="7" t="s">
        <v>66</v>
      </c>
    </row>
    <row r="2" customFormat="false" ht="15" hidden="false" customHeight="true" outlineLevel="0" collapsed="false">
      <c r="A2" s="9" t="s">
        <v>67</v>
      </c>
      <c r="B2" s="9" t="s">
        <v>5155</v>
      </c>
      <c r="C2" s="11" t="n">
        <v>12500</v>
      </c>
      <c r="D2" s="9" t="s">
        <v>73</v>
      </c>
      <c r="E2" s="9" t="n">
        <v>1</v>
      </c>
      <c r="F2" s="9" t="s">
        <v>5156</v>
      </c>
      <c r="G2" s="9"/>
      <c r="H2" s="14"/>
    </row>
    <row r="3" customFormat="false" ht="15" hidden="false" customHeight="true" outlineLevel="0" collapsed="false">
      <c r="A3" s="9" t="s">
        <v>67</v>
      </c>
      <c r="B3" s="9" t="s">
        <v>5157</v>
      </c>
      <c r="C3" s="11" t="n">
        <v>25000</v>
      </c>
      <c r="D3" s="9" t="s">
        <v>73</v>
      </c>
      <c r="E3" s="9" t="n">
        <v>2</v>
      </c>
      <c r="F3" s="9" t="s">
        <v>5158</v>
      </c>
      <c r="G3" s="9"/>
      <c r="H3" s="14"/>
    </row>
    <row r="4" customFormat="false" ht="15" hidden="false" customHeight="true" outlineLevel="0" collapsed="false">
      <c r="A4" s="9" t="s">
        <v>67</v>
      </c>
      <c r="B4" s="9" t="s">
        <v>5159</v>
      </c>
      <c r="C4" s="11" t="n">
        <v>45000</v>
      </c>
      <c r="D4" s="9" t="s">
        <v>73</v>
      </c>
      <c r="E4" s="9" t="n">
        <v>3</v>
      </c>
      <c r="F4" s="9" t="s">
        <v>5160</v>
      </c>
      <c r="G4" s="9" t="s">
        <v>5161</v>
      </c>
      <c r="H4" s="14"/>
    </row>
    <row r="5" customFormat="false" ht="15" hidden="false" customHeight="true" outlineLevel="0" collapsed="false">
      <c r="A5" s="9" t="s">
        <v>67</v>
      </c>
      <c r="B5" s="9" t="s">
        <v>5162</v>
      </c>
      <c r="C5" s="11" t="n">
        <v>30000</v>
      </c>
      <c r="D5" s="9" t="s">
        <v>73</v>
      </c>
      <c r="E5" s="9" t="n">
        <v>3</v>
      </c>
      <c r="F5" s="9" t="s">
        <v>12</v>
      </c>
      <c r="G5" s="9"/>
      <c r="H5" s="14"/>
    </row>
    <row r="6" customFormat="false" ht="15" hidden="false" customHeight="true" outlineLevel="0" collapsed="false">
      <c r="A6" s="9" t="s">
        <v>67</v>
      </c>
      <c r="B6" s="9" t="s">
        <v>5163</v>
      </c>
      <c r="C6" s="11" t="n">
        <v>90000</v>
      </c>
      <c r="D6" s="9" t="s">
        <v>73</v>
      </c>
      <c r="E6" s="9" t="n">
        <v>4</v>
      </c>
      <c r="F6" s="9" t="s">
        <v>5164</v>
      </c>
      <c r="G6" s="9" t="s">
        <v>5165</v>
      </c>
      <c r="H6" s="14"/>
    </row>
    <row r="7" customFormat="false" ht="15" hidden="false" customHeight="true" outlineLevel="0" collapsed="false">
      <c r="A7" s="9" t="s">
        <v>67</v>
      </c>
      <c r="B7" s="9" t="s">
        <v>5166</v>
      </c>
      <c r="C7" s="11" t="n">
        <v>10000</v>
      </c>
      <c r="D7" s="9" t="s">
        <v>73</v>
      </c>
      <c r="E7" s="9" t="n">
        <v>4</v>
      </c>
      <c r="F7" s="9" t="s">
        <v>5167</v>
      </c>
      <c r="G7" s="9"/>
      <c r="H7" s="14"/>
    </row>
    <row r="8" customFormat="false" ht="15" hidden="false" customHeight="true" outlineLevel="0" collapsed="false">
      <c r="A8" s="9" t="s">
        <v>67</v>
      </c>
      <c r="B8" s="9" t="s">
        <v>5168</v>
      </c>
      <c r="C8" s="11" t="n">
        <v>37500</v>
      </c>
      <c r="D8" s="9" t="s">
        <v>73</v>
      </c>
      <c r="E8" s="9" t="n">
        <v>5</v>
      </c>
      <c r="F8" s="9" t="s">
        <v>5169</v>
      </c>
      <c r="G8" s="9" t="s">
        <v>5170</v>
      </c>
      <c r="H8" s="14"/>
    </row>
    <row r="9" customFormat="false" ht="15" hidden="false" customHeight="true" outlineLevel="0" collapsed="false">
      <c r="A9" s="9" t="s">
        <v>87</v>
      </c>
      <c r="B9" s="9" t="s">
        <v>5171</v>
      </c>
      <c r="C9" s="11" t="n">
        <v>1500</v>
      </c>
      <c r="D9" s="9" t="s">
        <v>73</v>
      </c>
      <c r="E9" s="9" t="n">
        <v>1</v>
      </c>
      <c r="F9" s="9" t="s">
        <v>5172</v>
      </c>
      <c r="G9" s="9" t="s">
        <v>5173</v>
      </c>
      <c r="H9" s="14"/>
    </row>
    <row r="10" customFormat="false" ht="15" hidden="false" customHeight="true" outlineLevel="0" collapsed="false">
      <c r="A10" s="9" t="s">
        <v>87</v>
      </c>
      <c r="B10" s="9" t="s">
        <v>5174</v>
      </c>
      <c r="C10" s="11" t="n">
        <v>1500</v>
      </c>
      <c r="D10" s="9" t="s">
        <v>73</v>
      </c>
      <c r="E10" s="9" t="n">
        <v>1</v>
      </c>
      <c r="F10" s="9" t="s">
        <v>5175</v>
      </c>
      <c r="G10" s="9" t="s">
        <v>5176</v>
      </c>
      <c r="H10" s="14"/>
    </row>
    <row r="11" customFormat="false" ht="15" hidden="false" customHeight="true" outlineLevel="0" collapsed="false">
      <c r="A11" s="9" t="s">
        <v>87</v>
      </c>
      <c r="B11" s="9" t="s">
        <v>5177</v>
      </c>
      <c r="C11" s="11" t="n">
        <v>8000</v>
      </c>
      <c r="D11" s="9" t="s">
        <v>73</v>
      </c>
      <c r="E11" s="9" t="n">
        <v>2</v>
      </c>
      <c r="F11" s="9" t="s">
        <v>5178</v>
      </c>
      <c r="G11" s="9" t="s">
        <v>5179</v>
      </c>
      <c r="H11" s="14"/>
    </row>
    <row r="12" customFormat="false" ht="15" hidden="false" customHeight="true" outlineLevel="0" collapsed="false">
      <c r="A12" s="9" t="s">
        <v>87</v>
      </c>
      <c r="B12" s="9" t="s">
        <v>5180</v>
      </c>
      <c r="C12" s="11" t="n">
        <v>6000</v>
      </c>
      <c r="D12" s="9" t="s">
        <v>73</v>
      </c>
      <c r="E12" s="9" t="n">
        <v>3</v>
      </c>
      <c r="F12" s="9" t="s">
        <v>5181</v>
      </c>
      <c r="G12" s="9" t="s">
        <v>5182</v>
      </c>
      <c r="H12" s="14"/>
    </row>
    <row r="13" customFormat="false" ht="15" hidden="false" customHeight="true" outlineLevel="0" collapsed="false">
      <c r="A13" s="9" t="s">
        <v>87</v>
      </c>
      <c r="B13" s="9" t="s">
        <v>5183</v>
      </c>
      <c r="C13" s="11" t="n">
        <v>3000</v>
      </c>
      <c r="D13" s="9" t="s">
        <v>73</v>
      </c>
      <c r="E13" s="9" t="n">
        <v>4</v>
      </c>
      <c r="F13" s="9" t="s">
        <v>5184</v>
      </c>
      <c r="G13" s="9" t="s">
        <v>5185</v>
      </c>
      <c r="H13" s="14"/>
    </row>
    <row r="14" customFormat="false" ht="23.25" hidden="false" customHeight="true" outlineLevel="0" collapsed="false">
      <c r="A14" s="9" t="s">
        <v>104</v>
      </c>
      <c r="B14" s="9" t="s">
        <v>5186</v>
      </c>
      <c r="C14" s="15" t="n">
        <v>900000</v>
      </c>
      <c r="D14" s="9" t="s">
        <v>110</v>
      </c>
      <c r="E14" s="9" t="n">
        <v>1</v>
      </c>
      <c r="F14" s="9" t="s">
        <v>5187</v>
      </c>
      <c r="G14" s="9" t="s">
        <v>5188</v>
      </c>
      <c r="H14" s="14"/>
    </row>
    <row r="15" customFormat="false" ht="15" hidden="false" customHeight="true" outlineLevel="0" collapsed="false">
      <c r="A15" s="9" t="s">
        <v>104</v>
      </c>
      <c r="B15" s="9" t="s">
        <v>5189</v>
      </c>
      <c r="C15" s="15" t="n">
        <v>150000</v>
      </c>
      <c r="D15" s="9" t="s">
        <v>110</v>
      </c>
      <c r="E15" s="9" t="n">
        <v>1</v>
      </c>
      <c r="F15" s="9" t="s">
        <v>5181</v>
      </c>
      <c r="G15" s="9" t="s">
        <v>5190</v>
      </c>
      <c r="H15" s="14"/>
    </row>
    <row r="16" customFormat="false" ht="23.25" hidden="false" customHeight="true" outlineLevel="0" collapsed="false">
      <c r="A16" s="9" t="s">
        <v>104</v>
      </c>
      <c r="B16" s="9" t="s">
        <v>5191</v>
      </c>
      <c r="C16" s="15" t="n">
        <v>250000</v>
      </c>
      <c r="D16" s="9" t="s">
        <v>110</v>
      </c>
      <c r="E16" s="9" t="n">
        <v>1</v>
      </c>
      <c r="F16" s="9" t="s">
        <v>5192</v>
      </c>
      <c r="G16" s="9" t="s">
        <v>5193</v>
      </c>
      <c r="H16" s="14"/>
    </row>
    <row r="17" customFormat="false" ht="23.25" hidden="false" customHeight="true" outlineLevel="0" collapsed="false">
      <c r="A17" s="9" t="s">
        <v>104</v>
      </c>
      <c r="B17" s="9" t="s">
        <v>5194</v>
      </c>
      <c r="C17" s="15" t="n">
        <v>200000</v>
      </c>
      <c r="D17" s="9" t="s">
        <v>110</v>
      </c>
      <c r="E17" s="9" t="n">
        <v>1</v>
      </c>
      <c r="F17" s="9" t="s">
        <v>5195</v>
      </c>
      <c r="G17" s="9" t="s">
        <v>5196</v>
      </c>
      <c r="H17" s="14"/>
    </row>
    <row r="18" customFormat="false" ht="23.25" hidden="false" customHeight="true" outlineLevel="0" collapsed="false">
      <c r="A18" s="9" t="s">
        <v>104</v>
      </c>
      <c r="B18" s="9" t="s">
        <v>5197</v>
      </c>
      <c r="C18" s="15" t="n">
        <v>450000</v>
      </c>
      <c r="D18" s="9" t="s">
        <v>110</v>
      </c>
      <c r="E18" s="9" t="n">
        <v>2</v>
      </c>
      <c r="F18" s="9" t="s">
        <v>5198</v>
      </c>
      <c r="G18" s="9" t="s">
        <v>5199</v>
      </c>
      <c r="H18" s="14"/>
    </row>
    <row r="19" customFormat="false" ht="15" hidden="false" customHeight="true" outlineLevel="0" collapsed="false">
      <c r="A19" s="9" t="s">
        <v>104</v>
      </c>
      <c r="B19" s="9" t="s">
        <v>5200</v>
      </c>
      <c r="C19" s="15" t="n">
        <v>950000</v>
      </c>
      <c r="D19" s="9" t="s">
        <v>110</v>
      </c>
      <c r="E19" s="9" t="n">
        <v>2</v>
      </c>
      <c r="F19" s="9" t="s">
        <v>5198</v>
      </c>
      <c r="G19" s="9" t="s">
        <v>5201</v>
      </c>
      <c r="H19" s="14"/>
    </row>
    <row r="20" customFormat="false" ht="23.25" hidden="false" customHeight="true" outlineLevel="0" collapsed="false">
      <c r="A20" s="9" t="s">
        <v>104</v>
      </c>
      <c r="B20" s="9" t="s">
        <v>5202</v>
      </c>
      <c r="C20" s="15" t="n">
        <v>550000</v>
      </c>
      <c r="D20" s="9" t="s">
        <v>110</v>
      </c>
      <c r="E20" s="9" t="n">
        <v>2</v>
      </c>
      <c r="F20" s="9" t="s">
        <v>5203</v>
      </c>
      <c r="G20" s="9" t="s">
        <v>5204</v>
      </c>
      <c r="H20" s="14"/>
    </row>
    <row r="21" customFormat="false" ht="15" hidden="false" customHeight="true" outlineLevel="0" collapsed="false">
      <c r="A21" s="9" t="s">
        <v>104</v>
      </c>
      <c r="B21" s="9" t="s">
        <v>5205</v>
      </c>
      <c r="C21" s="15" t="n">
        <v>300000</v>
      </c>
      <c r="D21" s="9" t="s">
        <v>110</v>
      </c>
      <c r="E21" s="9" t="n">
        <v>2</v>
      </c>
      <c r="F21" s="9" t="s">
        <v>5206</v>
      </c>
      <c r="G21" s="9"/>
      <c r="H21" s="14"/>
    </row>
    <row r="22" customFormat="false" ht="23.25" hidden="false" customHeight="true" outlineLevel="0" collapsed="false">
      <c r="A22" s="9" t="s">
        <v>104</v>
      </c>
      <c r="B22" s="9" t="s">
        <v>5207</v>
      </c>
      <c r="C22" s="15" t="n">
        <v>600000</v>
      </c>
      <c r="D22" s="9" t="s">
        <v>110</v>
      </c>
      <c r="E22" s="9" t="n">
        <v>3</v>
      </c>
      <c r="F22" s="9" t="s">
        <v>5208</v>
      </c>
      <c r="G22" s="9" t="s">
        <v>5209</v>
      </c>
      <c r="H22" s="14"/>
    </row>
    <row r="23" customFormat="false" ht="15" hidden="false" customHeight="true" outlineLevel="0" collapsed="false">
      <c r="A23" s="9" t="s">
        <v>104</v>
      </c>
      <c r="B23" s="9" t="s">
        <v>5210</v>
      </c>
      <c r="C23" s="15" t="n">
        <v>250000</v>
      </c>
      <c r="D23" s="9" t="s">
        <v>110</v>
      </c>
      <c r="E23" s="9" t="n">
        <v>3</v>
      </c>
      <c r="F23" s="9" t="s">
        <v>5198</v>
      </c>
      <c r="G23" s="9"/>
      <c r="H23" s="14"/>
    </row>
    <row r="24" customFormat="false" ht="15" hidden="false" customHeight="true" outlineLevel="0" collapsed="false">
      <c r="A24" s="9" t="s">
        <v>104</v>
      </c>
      <c r="B24" s="9" t="s">
        <v>5211</v>
      </c>
      <c r="C24" s="15" t="n">
        <v>150000</v>
      </c>
      <c r="D24" s="9" t="s">
        <v>110</v>
      </c>
      <c r="E24" s="9" t="n">
        <v>4</v>
      </c>
      <c r="F24" s="9" t="s">
        <v>5212</v>
      </c>
      <c r="G24" s="9" t="s">
        <v>5213</v>
      </c>
      <c r="H24" s="14"/>
    </row>
    <row r="25" customFormat="false" ht="23.25" hidden="false" customHeight="true" outlineLevel="0" collapsed="false">
      <c r="A25" s="9" t="s">
        <v>104</v>
      </c>
      <c r="B25" s="9" t="s">
        <v>5214</v>
      </c>
      <c r="C25" s="15" t="n">
        <v>100000</v>
      </c>
      <c r="D25" s="9" t="s">
        <v>110</v>
      </c>
      <c r="E25" s="9" t="n">
        <v>4</v>
      </c>
      <c r="F25" s="9" t="s">
        <v>5215</v>
      </c>
      <c r="G25" s="9"/>
      <c r="H25" s="14"/>
    </row>
    <row r="26" customFormat="false" ht="15" hidden="false" customHeight="true" outlineLevel="0" collapsed="false">
      <c r="A26" s="9" t="s">
        <v>104</v>
      </c>
      <c r="B26" s="9" t="s">
        <v>5216</v>
      </c>
      <c r="C26" s="15" t="n">
        <v>150000</v>
      </c>
      <c r="D26" s="9" t="s">
        <v>110</v>
      </c>
      <c r="E26" s="9" t="n">
        <v>4</v>
      </c>
      <c r="F26" s="9" t="s">
        <v>5217</v>
      </c>
      <c r="G26" s="9"/>
      <c r="H26" s="14"/>
    </row>
    <row r="27" customFormat="false" ht="15" hidden="false" customHeight="true" outlineLevel="0" collapsed="false">
      <c r="A27" s="9" t="s">
        <v>124</v>
      </c>
      <c r="B27" s="9" t="s">
        <v>5218</v>
      </c>
      <c r="C27" s="11" t="n">
        <v>6000</v>
      </c>
      <c r="D27" s="9" t="s">
        <v>73</v>
      </c>
      <c r="E27" s="9" t="n">
        <v>1</v>
      </c>
      <c r="F27" s="9" t="s">
        <v>5219</v>
      </c>
      <c r="G27" s="9" t="s">
        <v>736</v>
      </c>
      <c r="H27" s="14"/>
    </row>
    <row r="28" customFormat="false" ht="15" hidden="false" customHeight="true" outlineLevel="0" collapsed="false">
      <c r="A28" s="9" t="s">
        <v>124</v>
      </c>
      <c r="B28" s="9" t="s">
        <v>5220</v>
      </c>
      <c r="C28" s="11" t="n">
        <v>3000</v>
      </c>
      <c r="D28" s="9" t="s">
        <v>73</v>
      </c>
      <c r="E28" s="9" t="n">
        <v>1</v>
      </c>
      <c r="F28" s="9" t="s">
        <v>5221</v>
      </c>
      <c r="G28" s="9" t="s">
        <v>5222</v>
      </c>
      <c r="H28" s="14"/>
    </row>
    <row r="29" customFormat="false" ht="15" hidden="false" customHeight="true" outlineLevel="0" collapsed="false">
      <c r="A29" s="9" t="s">
        <v>124</v>
      </c>
      <c r="B29" s="9" t="s">
        <v>5223</v>
      </c>
      <c r="C29" s="11" t="n">
        <v>9000</v>
      </c>
      <c r="D29" s="9" t="s">
        <v>73</v>
      </c>
      <c r="E29" s="9" t="n">
        <v>2</v>
      </c>
      <c r="F29" s="9" t="s">
        <v>5224</v>
      </c>
      <c r="G29" s="9"/>
      <c r="H29" s="14"/>
    </row>
    <row r="30" customFormat="false" ht="15" hidden="false" customHeight="true" outlineLevel="0" collapsed="false">
      <c r="A30" s="9" t="s">
        <v>124</v>
      </c>
      <c r="B30" s="9" t="s">
        <v>5225</v>
      </c>
      <c r="C30" s="11" t="n">
        <v>5000</v>
      </c>
      <c r="D30" s="9" t="s">
        <v>73</v>
      </c>
      <c r="E30" s="9" t="n">
        <v>2</v>
      </c>
      <c r="F30" s="9" t="s">
        <v>5208</v>
      </c>
      <c r="G30" s="9" t="s">
        <v>5226</v>
      </c>
      <c r="H30" s="14"/>
    </row>
    <row r="31" customFormat="false" ht="15" hidden="false" customHeight="true" outlineLevel="0" collapsed="false">
      <c r="A31" s="9" t="s">
        <v>124</v>
      </c>
      <c r="B31" s="9" t="s">
        <v>5227</v>
      </c>
      <c r="C31" s="11" t="n">
        <v>2000</v>
      </c>
      <c r="D31" s="9" t="s">
        <v>73</v>
      </c>
      <c r="E31" s="9" t="n">
        <v>2</v>
      </c>
      <c r="F31" s="9" t="s">
        <v>5228</v>
      </c>
      <c r="G31" s="9"/>
      <c r="H31" s="14"/>
    </row>
    <row r="32" customFormat="false" ht="15" hidden="false" customHeight="true" outlineLevel="0" collapsed="false">
      <c r="A32" s="9" t="s">
        <v>124</v>
      </c>
      <c r="B32" s="9" t="s">
        <v>5229</v>
      </c>
      <c r="C32" s="11" t="n">
        <v>4000</v>
      </c>
      <c r="D32" s="9" t="s">
        <v>73</v>
      </c>
      <c r="E32" s="9" t="n">
        <v>2</v>
      </c>
      <c r="F32" s="9" t="s">
        <v>5221</v>
      </c>
      <c r="G32" s="9" t="s">
        <v>5230</v>
      </c>
      <c r="H32" s="14"/>
    </row>
    <row r="33" customFormat="false" ht="15" hidden="false" customHeight="true" outlineLevel="0" collapsed="false">
      <c r="A33" s="9" t="s">
        <v>124</v>
      </c>
      <c r="B33" s="9" t="s">
        <v>5231</v>
      </c>
      <c r="C33" s="11" t="n">
        <v>1000</v>
      </c>
      <c r="D33" s="9" t="s">
        <v>73</v>
      </c>
      <c r="E33" s="9" t="n">
        <v>2</v>
      </c>
      <c r="F33" s="9" t="s">
        <v>5215</v>
      </c>
      <c r="G33" s="9"/>
      <c r="H33" s="14"/>
    </row>
    <row r="34" customFormat="false" ht="15" hidden="false" customHeight="true" outlineLevel="0" collapsed="false">
      <c r="A34" s="9" t="s">
        <v>124</v>
      </c>
      <c r="B34" s="9" t="s">
        <v>5232</v>
      </c>
      <c r="C34" s="11" t="n">
        <v>6000</v>
      </c>
      <c r="D34" s="9" t="s">
        <v>73</v>
      </c>
      <c r="E34" s="9" t="n">
        <v>3</v>
      </c>
      <c r="F34" s="9" t="s">
        <v>5224</v>
      </c>
      <c r="G34" s="9"/>
      <c r="H34" s="14"/>
    </row>
    <row r="35" customFormat="false" ht="15" hidden="false" customHeight="true" outlineLevel="0" collapsed="false">
      <c r="A35" s="9" t="s">
        <v>124</v>
      </c>
      <c r="B35" s="9" t="s">
        <v>5233</v>
      </c>
      <c r="C35" s="11" t="n">
        <v>4000</v>
      </c>
      <c r="D35" s="9" t="s">
        <v>73</v>
      </c>
      <c r="E35" s="9" t="n">
        <v>3</v>
      </c>
      <c r="F35" s="9" t="s">
        <v>5203</v>
      </c>
      <c r="G35" s="9"/>
      <c r="H35" s="14"/>
    </row>
    <row r="36" customFormat="false" ht="15" hidden="false" customHeight="true" outlineLevel="0" collapsed="false">
      <c r="A36" s="9" t="s">
        <v>124</v>
      </c>
      <c r="B36" s="9" t="s">
        <v>5234</v>
      </c>
      <c r="C36" s="11" t="n">
        <v>2500</v>
      </c>
      <c r="D36" s="9" t="s">
        <v>73</v>
      </c>
      <c r="E36" s="9" t="n">
        <v>3</v>
      </c>
      <c r="F36" s="9" t="s">
        <v>5181</v>
      </c>
      <c r="G36" s="9"/>
      <c r="H36" s="14"/>
    </row>
    <row r="37" customFormat="false" ht="15" hidden="false" customHeight="true" outlineLevel="0" collapsed="false">
      <c r="A37" s="9" t="s">
        <v>124</v>
      </c>
      <c r="B37" s="9" t="s">
        <v>5235</v>
      </c>
      <c r="C37" s="11" t="n">
        <v>2500</v>
      </c>
      <c r="D37" s="9" t="s">
        <v>73</v>
      </c>
      <c r="E37" s="9" t="n">
        <v>3</v>
      </c>
      <c r="F37" s="9" t="s">
        <v>5221</v>
      </c>
      <c r="G37" s="9"/>
      <c r="H37" s="14"/>
    </row>
    <row r="38" customFormat="false" ht="15" hidden="false" customHeight="true" outlineLevel="0" collapsed="false">
      <c r="A38" s="9" t="s">
        <v>124</v>
      </c>
      <c r="B38" s="9" t="s">
        <v>5236</v>
      </c>
      <c r="C38" s="11" t="n">
        <v>5000</v>
      </c>
      <c r="D38" s="9" t="s">
        <v>73</v>
      </c>
      <c r="E38" s="9" t="n">
        <v>4</v>
      </c>
      <c r="F38" s="9" t="s">
        <v>5228</v>
      </c>
      <c r="G38" s="9" t="s">
        <v>5237</v>
      </c>
      <c r="H38" s="14"/>
    </row>
    <row r="39" customFormat="false" ht="15" hidden="false" customHeight="true" outlineLevel="0" collapsed="false">
      <c r="A39" s="9" t="s">
        <v>124</v>
      </c>
      <c r="B39" s="9" t="s">
        <v>5238</v>
      </c>
      <c r="C39" s="11" t="n">
        <v>4000</v>
      </c>
      <c r="D39" s="9" t="s">
        <v>73</v>
      </c>
      <c r="E39" s="9" t="n">
        <v>4</v>
      </c>
      <c r="F39" s="9" t="s">
        <v>5221</v>
      </c>
      <c r="G39" s="9" t="s">
        <v>5239</v>
      </c>
      <c r="H39" s="14"/>
    </row>
    <row r="40" customFormat="false" ht="23.25" hidden="false" customHeight="true" outlineLevel="0" collapsed="false">
      <c r="A40" s="9" t="s">
        <v>124</v>
      </c>
      <c r="B40" s="9" t="s">
        <v>5240</v>
      </c>
      <c r="C40" s="11" t="n">
        <v>4000</v>
      </c>
      <c r="D40" s="9" t="s">
        <v>73</v>
      </c>
      <c r="E40" s="9" t="n">
        <v>4</v>
      </c>
      <c r="F40" s="9" t="s">
        <v>5241</v>
      </c>
      <c r="G40" s="9"/>
      <c r="H40" s="14"/>
    </row>
    <row r="41" customFormat="false" ht="15" hidden="false" customHeight="true" outlineLevel="0" collapsed="false">
      <c r="A41" s="9" t="s">
        <v>124</v>
      </c>
      <c r="B41" s="9" t="s">
        <v>5242</v>
      </c>
      <c r="C41" s="11" t="n">
        <v>2000</v>
      </c>
      <c r="D41" s="9" t="s">
        <v>73</v>
      </c>
      <c r="E41" s="9" t="n">
        <v>4</v>
      </c>
      <c r="F41" s="9" t="s">
        <v>5243</v>
      </c>
      <c r="G41" s="9" t="s">
        <v>5244</v>
      </c>
      <c r="H41" s="14"/>
    </row>
    <row r="42" customFormat="false" ht="15" hidden="false" customHeight="true" outlineLevel="0" collapsed="false">
      <c r="A42" s="9" t="s">
        <v>139</v>
      </c>
      <c r="B42" s="9" t="s">
        <v>5245</v>
      </c>
      <c r="C42" s="11" t="n">
        <v>6000</v>
      </c>
      <c r="D42" s="9" t="s">
        <v>73</v>
      </c>
      <c r="E42" s="9" t="n">
        <v>1</v>
      </c>
      <c r="F42" s="9" t="s">
        <v>5203</v>
      </c>
      <c r="G42" s="9" t="s">
        <v>736</v>
      </c>
      <c r="H42" s="14"/>
    </row>
    <row r="43" customFormat="false" ht="15" hidden="false" customHeight="true" outlineLevel="0" collapsed="false">
      <c r="A43" s="9" t="s">
        <v>139</v>
      </c>
      <c r="B43" s="9" t="s">
        <v>5246</v>
      </c>
      <c r="C43" s="11" t="n">
        <v>2500</v>
      </c>
      <c r="D43" s="9" t="s">
        <v>73</v>
      </c>
      <c r="E43" s="9" t="n">
        <v>1</v>
      </c>
      <c r="F43" s="9" t="s">
        <v>5247</v>
      </c>
      <c r="G43" s="9"/>
      <c r="H43" s="14"/>
    </row>
    <row r="44" customFormat="false" ht="15" hidden="false" customHeight="true" outlineLevel="0" collapsed="false">
      <c r="A44" s="9" t="s">
        <v>139</v>
      </c>
      <c r="B44" s="9" t="s">
        <v>5248</v>
      </c>
      <c r="C44" s="11" t="n">
        <v>22500</v>
      </c>
      <c r="D44" s="9" t="s">
        <v>73</v>
      </c>
      <c r="E44" s="9" t="n">
        <v>2</v>
      </c>
      <c r="F44" s="9" t="s">
        <v>5249</v>
      </c>
      <c r="G44" s="9" t="s">
        <v>5250</v>
      </c>
      <c r="H44" s="14"/>
    </row>
    <row r="45" customFormat="false" ht="15" hidden="false" customHeight="true" outlineLevel="0" collapsed="false">
      <c r="A45" s="9" t="s">
        <v>139</v>
      </c>
      <c r="B45" s="9" t="s">
        <v>5251</v>
      </c>
      <c r="C45" s="11" t="n">
        <v>6000</v>
      </c>
      <c r="D45" s="9" t="s">
        <v>73</v>
      </c>
      <c r="E45" s="9" t="n">
        <v>2</v>
      </c>
      <c r="F45" s="9" t="s">
        <v>5203</v>
      </c>
      <c r="G45" s="9"/>
      <c r="H45" s="14"/>
    </row>
    <row r="46" customFormat="false" ht="15" hidden="false" customHeight="true" outlineLevel="0" collapsed="false">
      <c r="A46" s="9" t="s">
        <v>139</v>
      </c>
      <c r="B46" s="9" t="s">
        <v>5252</v>
      </c>
      <c r="C46" s="11" t="n">
        <v>2000</v>
      </c>
      <c r="D46" s="9" t="s">
        <v>73</v>
      </c>
      <c r="E46" s="9" t="n">
        <v>2</v>
      </c>
      <c r="F46" s="9" t="s">
        <v>5253</v>
      </c>
      <c r="G46" s="9"/>
      <c r="H46" s="14"/>
    </row>
    <row r="47" customFormat="false" ht="15" hidden="false" customHeight="true" outlineLevel="0" collapsed="false">
      <c r="A47" s="9" t="s">
        <v>139</v>
      </c>
      <c r="B47" s="9" t="s">
        <v>5254</v>
      </c>
      <c r="C47" s="11" t="n">
        <v>3000</v>
      </c>
      <c r="D47" s="9" t="s">
        <v>73</v>
      </c>
      <c r="E47" s="9" t="n">
        <v>2</v>
      </c>
      <c r="F47" s="9" t="s">
        <v>5181</v>
      </c>
      <c r="G47" s="9"/>
      <c r="H47" s="14"/>
    </row>
    <row r="48" customFormat="false" ht="15" hidden="false" customHeight="true" outlineLevel="0" collapsed="false">
      <c r="A48" s="9" t="s">
        <v>139</v>
      </c>
      <c r="B48" s="9" t="s">
        <v>5255</v>
      </c>
      <c r="C48" s="11" t="n">
        <v>2500</v>
      </c>
      <c r="D48" s="9" t="s">
        <v>73</v>
      </c>
      <c r="E48" s="9" t="n">
        <v>2</v>
      </c>
      <c r="F48" s="9" t="s">
        <v>5256</v>
      </c>
      <c r="G48" s="9"/>
      <c r="H48" s="14"/>
    </row>
    <row r="49" customFormat="false" ht="15" hidden="false" customHeight="true" outlineLevel="0" collapsed="false">
      <c r="A49" s="9" t="s">
        <v>139</v>
      </c>
      <c r="B49" s="9" t="s">
        <v>5257</v>
      </c>
      <c r="C49" s="11" t="n">
        <v>2250</v>
      </c>
      <c r="D49" s="9" t="s">
        <v>73</v>
      </c>
      <c r="E49" s="9" t="n">
        <v>2</v>
      </c>
      <c r="F49" s="9" t="s">
        <v>5258</v>
      </c>
      <c r="G49" s="9"/>
      <c r="H49" s="14"/>
    </row>
    <row r="50" customFormat="false" ht="15" hidden="false" customHeight="true" outlineLevel="0" collapsed="false">
      <c r="A50" s="9" t="s">
        <v>139</v>
      </c>
      <c r="B50" s="9" t="s">
        <v>5259</v>
      </c>
      <c r="C50" s="11" t="n">
        <v>10000</v>
      </c>
      <c r="D50" s="9" t="s">
        <v>73</v>
      </c>
      <c r="E50" s="9" t="n">
        <v>3</v>
      </c>
      <c r="F50" s="9" t="s">
        <v>5224</v>
      </c>
      <c r="G50" s="9"/>
      <c r="H50" s="14"/>
    </row>
    <row r="51" customFormat="false" ht="15" hidden="false" customHeight="true" outlineLevel="0" collapsed="false">
      <c r="A51" s="9" t="s">
        <v>139</v>
      </c>
      <c r="B51" s="9" t="s">
        <v>5260</v>
      </c>
      <c r="C51" s="11" t="n">
        <v>4000</v>
      </c>
      <c r="D51" s="9" t="s">
        <v>73</v>
      </c>
      <c r="E51" s="9" t="n">
        <v>3</v>
      </c>
      <c r="F51" s="9" t="s">
        <v>5261</v>
      </c>
      <c r="G51" s="9"/>
      <c r="H51" s="14"/>
    </row>
    <row r="52" customFormat="false" ht="15" hidden="false" customHeight="true" outlineLevel="0" collapsed="false">
      <c r="A52" s="9" t="s">
        <v>139</v>
      </c>
      <c r="B52" s="9" t="s">
        <v>5262</v>
      </c>
      <c r="C52" s="11" t="n">
        <v>5000</v>
      </c>
      <c r="D52" s="9" t="s">
        <v>73</v>
      </c>
      <c r="E52" s="9" t="n">
        <v>3</v>
      </c>
      <c r="F52" s="9" t="s">
        <v>5263</v>
      </c>
      <c r="G52" s="9" t="s">
        <v>5264</v>
      </c>
      <c r="H52" s="14"/>
    </row>
    <row r="53" customFormat="false" ht="15" hidden="false" customHeight="true" outlineLevel="0" collapsed="false">
      <c r="A53" s="9" t="s">
        <v>139</v>
      </c>
      <c r="B53" s="9" t="s">
        <v>5265</v>
      </c>
      <c r="C53" s="11" t="n">
        <v>2250</v>
      </c>
      <c r="D53" s="9" t="s">
        <v>73</v>
      </c>
      <c r="E53" s="9" t="n">
        <v>3</v>
      </c>
      <c r="F53" s="9" t="s">
        <v>5181</v>
      </c>
      <c r="G53" s="9"/>
      <c r="H53" s="14"/>
    </row>
    <row r="54" customFormat="false" ht="15" hidden="false" customHeight="true" outlineLevel="0" collapsed="false">
      <c r="A54" s="9" t="s">
        <v>139</v>
      </c>
      <c r="B54" s="9" t="s">
        <v>5266</v>
      </c>
      <c r="C54" s="11" t="n">
        <v>8000</v>
      </c>
      <c r="D54" s="9" t="s">
        <v>73</v>
      </c>
      <c r="E54" s="9" t="n">
        <v>4</v>
      </c>
      <c r="F54" s="9" t="s">
        <v>5224</v>
      </c>
      <c r="G54" s="9"/>
      <c r="H54" s="14"/>
    </row>
    <row r="55" customFormat="false" ht="15" hidden="false" customHeight="true" outlineLevel="0" collapsed="false">
      <c r="A55" s="9" t="s">
        <v>139</v>
      </c>
      <c r="B55" s="9" t="s">
        <v>5267</v>
      </c>
      <c r="C55" s="11" t="n">
        <v>4000</v>
      </c>
      <c r="D55" s="9" t="s">
        <v>73</v>
      </c>
      <c r="E55" s="9" t="n">
        <v>4</v>
      </c>
      <c r="F55" s="9" t="s">
        <v>5228</v>
      </c>
      <c r="G55" s="9"/>
      <c r="H55" s="14"/>
    </row>
    <row r="56" customFormat="false" ht="15" hidden="false" customHeight="true" outlineLevel="0" collapsed="false">
      <c r="A56" s="9" t="s">
        <v>139</v>
      </c>
      <c r="B56" s="9" t="s">
        <v>5268</v>
      </c>
      <c r="C56" s="11" t="n">
        <v>2000</v>
      </c>
      <c r="D56" s="9" t="s">
        <v>73</v>
      </c>
      <c r="E56" s="9" t="n">
        <v>4</v>
      </c>
      <c r="F56" s="9" t="s">
        <v>5215</v>
      </c>
      <c r="G56" s="9"/>
      <c r="H56" s="14"/>
    </row>
    <row r="57" customFormat="false" ht="15" hidden="false" customHeight="true" outlineLevel="0" collapsed="false">
      <c r="A57" s="9" t="s">
        <v>139</v>
      </c>
      <c r="B57" s="9" t="s">
        <v>5269</v>
      </c>
      <c r="C57" s="11" t="n">
        <v>3000</v>
      </c>
      <c r="D57" s="9" t="s">
        <v>73</v>
      </c>
      <c r="E57" s="9" t="n">
        <v>4</v>
      </c>
      <c r="F57" s="9" t="s">
        <v>5181</v>
      </c>
      <c r="G57" s="9"/>
      <c r="H57" s="14"/>
    </row>
    <row r="58" customFormat="false" ht="15" hidden="false" customHeight="true" outlineLevel="0" collapsed="false">
      <c r="A58" s="9" t="s">
        <v>157</v>
      </c>
      <c r="B58" s="9" t="s">
        <v>5270</v>
      </c>
      <c r="C58" s="11" t="n">
        <v>2000</v>
      </c>
      <c r="D58" s="9" t="s">
        <v>73</v>
      </c>
      <c r="E58" s="9" t="n">
        <v>1</v>
      </c>
      <c r="F58" s="9" t="s">
        <v>5271</v>
      </c>
      <c r="G58" s="9"/>
      <c r="H58" s="14"/>
    </row>
    <row r="59" customFormat="false" ht="15" hidden="false" customHeight="true" outlineLevel="0" collapsed="false">
      <c r="A59" s="9" t="s">
        <v>157</v>
      </c>
      <c r="B59" s="9" t="s">
        <v>5272</v>
      </c>
      <c r="C59" s="11" t="n">
        <v>1500</v>
      </c>
      <c r="D59" s="9" t="s">
        <v>73</v>
      </c>
      <c r="E59" s="9" t="n">
        <v>1</v>
      </c>
      <c r="F59" s="9" t="s">
        <v>5224</v>
      </c>
      <c r="G59" s="9"/>
      <c r="H59" s="14"/>
    </row>
    <row r="60" customFormat="false" ht="15" hidden="false" customHeight="true" outlineLevel="0" collapsed="false">
      <c r="A60" s="9" t="s">
        <v>157</v>
      </c>
      <c r="B60" s="9" t="s">
        <v>5273</v>
      </c>
      <c r="C60" s="11" t="n">
        <v>1000</v>
      </c>
      <c r="D60" s="9" t="s">
        <v>73</v>
      </c>
      <c r="E60" s="9" t="n">
        <v>1</v>
      </c>
      <c r="F60" s="9" t="s">
        <v>5208</v>
      </c>
      <c r="G60" s="9"/>
      <c r="H60" s="14"/>
    </row>
    <row r="61" customFormat="false" ht="15" hidden="false" customHeight="true" outlineLevel="0" collapsed="false">
      <c r="A61" s="9" t="s">
        <v>157</v>
      </c>
      <c r="B61" s="9" t="s">
        <v>5274</v>
      </c>
      <c r="C61" s="11" t="n">
        <v>10000</v>
      </c>
      <c r="D61" s="9" t="s">
        <v>73</v>
      </c>
      <c r="E61" s="9" t="n">
        <v>2</v>
      </c>
      <c r="F61" s="9" t="s">
        <v>5253</v>
      </c>
      <c r="G61" s="9"/>
      <c r="H61" s="14"/>
    </row>
    <row r="62" customFormat="false" ht="15" hidden="false" customHeight="true" outlineLevel="0" collapsed="false">
      <c r="A62" s="9" t="s">
        <v>157</v>
      </c>
      <c r="B62" s="9" t="s">
        <v>5275</v>
      </c>
      <c r="C62" s="11" t="n">
        <v>1500</v>
      </c>
      <c r="D62" s="9" t="s">
        <v>73</v>
      </c>
      <c r="E62" s="9" t="n">
        <v>2</v>
      </c>
      <c r="F62" s="9" t="s">
        <v>5181</v>
      </c>
      <c r="G62" s="9"/>
      <c r="H62" s="14"/>
    </row>
    <row r="63" customFormat="false" ht="15" hidden="false" customHeight="true" outlineLevel="0" collapsed="false">
      <c r="A63" s="9" t="s">
        <v>157</v>
      </c>
      <c r="B63" s="9" t="s">
        <v>5276</v>
      </c>
      <c r="C63" s="11" t="n">
        <v>500</v>
      </c>
      <c r="D63" s="9" t="s">
        <v>73</v>
      </c>
      <c r="E63" s="9" t="n">
        <v>2</v>
      </c>
      <c r="F63" s="9" t="s">
        <v>5277</v>
      </c>
      <c r="G63" s="9"/>
      <c r="H63" s="14"/>
    </row>
    <row r="64" customFormat="false" ht="15" hidden="false" customHeight="true" outlineLevel="0" collapsed="false">
      <c r="A64" s="9" t="s">
        <v>157</v>
      </c>
      <c r="B64" s="9" t="s">
        <v>5278</v>
      </c>
      <c r="C64" s="11" t="n">
        <v>3500</v>
      </c>
      <c r="D64" s="9" t="s">
        <v>73</v>
      </c>
      <c r="E64" s="9" t="n">
        <v>3</v>
      </c>
      <c r="F64" s="9" t="s">
        <v>5224</v>
      </c>
      <c r="G64" s="9"/>
      <c r="H64" s="14"/>
    </row>
    <row r="65" customFormat="false" ht="15" hidden="false" customHeight="true" outlineLevel="0" collapsed="false">
      <c r="A65" s="9" t="s">
        <v>157</v>
      </c>
      <c r="B65" s="9" t="s">
        <v>5279</v>
      </c>
      <c r="C65" s="11" t="n">
        <v>2000</v>
      </c>
      <c r="D65" s="9" t="s">
        <v>73</v>
      </c>
      <c r="E65" s="9" t="n">
        <v>3</v>
      </c>
      <c r="F65" s="9" t="s">
        <v>5280</v>
      </c>
      <c r="G65" s="9" t="s">
        <v>5281</v>
      </c>
      <c r="H65" s="14"/>
    </row>
    <row r="66" customFormat="false" ht="15" hidden="false" customHeight="true" outlineLevel="0" collapsed="false">
      <c r="A66" s="9" t="s">
        <v>157</v>
      </c>
      <c r="B66" s="9" t="s">
        <v>5282</v>
      </c>
      <c r="C66" s="11" t="n">
        <v>1000</v>
      </c>
      <c r="D66" s="9" t="s">
        <v>73</v>
      </c>
      <c r="E66" s="9" t="n">
        <v>3</v>
      </c>
      <c r="F66" s="9" t="s">
        <v>5228</v>
      </c>
      <c r="G66" s="9"/>
      <c r="H66" s="14"/>
    </row>
    <row r="67" customFormat="false" ht="15" hidden="false" customHeight="true" outlineLevel="0" collapsed="false">
      <c r="A67" s="9" t="s">
        <v>157</v>
      </c>
      <c r="B67" s="9" t="s">
        <v>5283</v>
      </c>
      <c r="C67" s="11" t="n">
        <v>1000</v>
      </c>
      <c r="D67" s="9" t="s">
        <v>73</v>
      </c>
      <c r="E67" s="9" t="n">
        <v>3</v>
      </c>
      <c r="F67" s="9" t="s">
        <v>5181</v>
      </c>
      <c r="G67" s="9"/>
      <c r="H67" s="14"/>
    </row>
    <row r="68" customFormat="false" ht="15" hidden="false" customHeight="true" outlineLevel="0" collapsed="false">
      <c r="A68" s="9" t="s">
        <v>157</v>
      </c>
      <c r="B68" s="9" t="s">
        <v>5284</v>
      </c>
      <c r="C68" s="11" t="n">
        <v>1500</v>
      </c>
      <c r="D68" s="9" t="s">
        <v>73</v>
      </c>
      <c r="E68" s="9" t="n">
        <v>4</v>
      </c>
      <c r="F68" s="9" t="s">
        <v>5215</v>
      </c>
      <c r="G68" s="9"/>
      <c r="H68" s="14"/>
    </row>
    <row r="69" customFormat="false" ht="15" hidden="false" customHeight="true" outlineLevel="0" collapsed="false">
      <c r="A69" s="9" t="s">
        <v>157</v>
      </c>
      <c r="B69" s="9" t="s">
        <v>5285</v>
      </c>
      <c r="C69" s="11" t="n">
        <v>1000</v>
      </c>
      <c r="D69" s="9" t="s">
        <v>73</v>
      </c>
      <c r="E69" s="9" t="n">
        <v>4</v>
      </c>
      <c r="F69" s="9" t="s">
        <v>5215</v>
      </c>
      <c r="G69" s="9"/>
      <c r="H69" s="14"/>
    </row>
    <row r="70" customFormat="false" ht="15" hidden="false" customHeight="true" outlineLevel="0" collapsed="false">
      <c r="A70" s="9" t="s">
        <v>157</v>
      </c>
      <c r="B70" s="9" t="s">
        <v>5286</v>
      </c>
      <c r="C70" s="11" t="n">
        <v>2000</v>
      </c>
      <c r="D70" s="9" t="s">
        <v>73</v>
      </c>
      <c r="E70" s="9" t="n">
        <v>4</v>
      </c>
      <c r="F70" s="9" t="s">
        <v>5287</v>
      </c>
      <c r="G70" s="9"/>
      <c r="H70" s="14"/>
    </row>
    <row r="71" customFormat="false" ht="15" hidden="false" customHeight="true" outlineLevel="0" collapsed="false">
      <c r="A71" s="9" t="s">
        <v>157</v>
      </c>
      <c r="B71" s="9" t="s">
        <v>5288</v>
      </c>
      <c r="C71" s="11" t="n">
        <v>1500</v>
      </c>
      <c r="D71" s="9" t="s">
        <v>73</v>
      </c>
      <c r="E71" s="9" t="n">
        <v>4</v>
      </c>
      <c r="F71" s="9" t="s">
        <v>1628</v>
      </c>
      <c r="G71" s="9" t="s">
        <v>5289</v>
      </c>
      <c r="H71" s="14"/>
    </row>
    <row r="72" customFormat="false" ht="15" hidden="false" customHeight="true" outlineLevel="0" collapsed="false">
      <c r="A72" s="9" t="s">
        <v>174</v>
      </c>
      <c r="B72" s="9" t="s">
        <v>5290</v>
      </c>
      <c r="C72" s="11" t="n">
        <v>12000</v>
      </c>
      <c r="D72" s="9" t="s">
        <v>73</v>
      </c>
      <c r="E72" s="9" t="n">
        <v>1</v>
      </c>
      <c r="F72" s="9" t="s">
        <v>5291</v>
      </c>
      <c r="G72" s="9" t="s">
        <v>5292</v>
      </c>
      <c r="H72" s="14"/>
    </row>
    <row r="73" customFormat="false" ht="15" hidden="false" customHeight="true" outlineLevel="0" collapsed="false">
      <c r="A73" s="9" t="s">
        <v>174</v>
      </c>
      <c r="B73" s="9" t="s">
        <v>5293</v>
      </c>
      <c r="C73" s="11" t="n">
        <v>30000</v>
      </c>
      <c r="D73" s="9" t="s">
        <v>73</v>
      </c>
      <c r="E73" s="9" t="n">
        <v>2</v>
      </c>
      <c r="F73" s="9" t="s">
        <v>5224</v>
      </c>
      <c r="G73" s="9" t="s">
        <v>5294</v>
      </c>
      <c r="H73" s="14"/>
    </row>
    <row r="74" customFormat="false" ht="15" hidden="false" customHeight="true" outlineLevel="0" collapsed="false">
      <c r="A74" s="9" t="s">
        <v>174</v>
      </c>
      <c r="B74" s="9" t="s">
        <v>5295</v>
      </c>
      <c r="C74" s="11" t="n">
        <v>12000</v>
      </c>
      <c r="D74" s="9" t="s">
        <v>73</v>
      </c>
      <c r="E74" s="9" t="n">
        <v>2</v>
      </c>
      <c r="F74" s="9" t="s">
        <v>5203</v>
      </c>
      <c r="G74" s="9"/>
      <c r="H74" s="14"/>
    </row>
    <row r="75" customFormat="false" ht="15" hidden="false" customHeight="true" outlineLevel="0" collapsed="false">
      <c r="A75" s="9" t="s">
        <v>174</v>
      </c>
      <c r="B75" s="9" t="s">
        <v>5296</v>
      </c>
      <c r="C75" s="11" t="n">
        <v>25000</v>
      </c>
      <c r="D75" s="9" t="s">
        <v>73</v>
      </c>
      <c r="E75" s="9" t="n">
        <v>3</v>
      </c>
      <c r="F75" s="9" t="s">
        <v>5297</v>
      </c>
      <c r="G75" s="9" t="s">
        <v>5298</v>
      </c>
      <c r="H75" s="14"/>
    </row>
    <row r="76" customFormat="false" ht="15" hidden="false" customHeight="true" outlineLevel="0" collapsed="false">
      <c r="A76" s="9" t="s">
        <v>174</v>
      </c>
      <c r="B76" s="9" t="s">
        <v>5299</v>
      </c>
      <c r="C76" s="11" t="n">
        <v>17000</v>
      </c>
      <c r="D76" s="9" t="s">
        <v>73</v>
      </c>
      <c r="E76" s="9" t="n">
        <v>3</v>
      </c>
      <c r="F76" s="9" t="s">
        <v>5300</v>
      </c>
      <c r="G76" s="9" t="s">
        <v>5301</v>
      </c>
      <c r="H76" s="14"/>
    </row>
    <row r="77" customFormat="false" ht="23.25" hidden="false" customHeight="true" outlineLevel="0" collapsed="false">
      <c r="A77" s="9" t="s">
        <v>174</v>
      </c>
      <c r="B77" s="9" t="s">
        <v>5302</v>
      </c>
      <c r="C77" s="11" t="n">
        <v>24000</v>
      </c>
      <c r="D77" s="9" t="s">
        <v>73</v>
      </c>
      <c r="E77" s="9" t="n">
        <v>4</v>
      </c>
      <c r="F77" s="9" t="s">
        <v>5303</v>
      </c>
      <c r="G77" s="9" t="s">
        <v>5304</v>
      </c>
      <c r="H77" s="14"/>
    </row>
    <row r="78" customFormat="false" ht="23.25" hidden="false" customHeight="true" outlineLevel="0" collapsed="false">
      <c r="A78" s="9" t="s">
        <v>193</v>
      </c>
      <c r="B78" s="9" t="s">
        <v>5305</v>
      </c>
      <c r="C78" s="15" t="n">
        <v>150000</v>
      </c>
      <c r="D78" s="9" t="s">
        <v>110</v>
      </c>
      <c r="E78" s="9" t="n">
        <v>1</v>
      </c>
      <c r="F78" s="9" t="s">
        <v>5306</v>
      </c>
      <c r="G78" s="9" t="s">
        <v>5307</v>
      </c>
      <c r="H78" s="14"/>
    </row>
    <row r="79" customFormat="false" ht="23.25" hidden="false" customHeight="true" outlineLevel="0" collapsed="false">
      <c r="A79" s="9" t="s">
        <v>193</v>
      </c>
      <c r="B79" s="9" t="s">
        <v>5308</v>
      </c>
      <c r="C79" s="15" t="n">
        <v>60000</v>
      </c>
      <c r="D79" s="9" t="s">
        <v>110</v>
      </c>
      <c r="E79" s="9" t="n">
        <v>2</v>
      </c>
      <c r="F79" s="9" t="s">
        <v>5309</v>
      </c>
      <c r="G79" s="9" t="s">
        <v>5310</v>
      </c>
      <c r="H79" s="14"/>
    </row>
    <row r="80" customFormat="false" ht="23.25" hidden="false" customHeight="true" outlineLevel="0" collapsed="false">
      <c r="A80" s="9" t="s">
        <v>193</v>
      </c>
      <c r="B80" s="9" t="s">
        <v>5311</v>
      </c>
      <c r="C80" s="15" t="n">
        <v>160000</v>
      </c>
      <c r="D80" s="9" t="s">
        <v>110</v>
      </c>
      <c r="E80" s="9" t="n">
        <v>2</v>
      </c>
      <c r="F80" s="9" t="s">
        <v>5312</v>
      </c>
      <c r="G80" s="9" t="s">
        <v>5313</v>
      </c>
      <c r="H80" s="14"/>
    </row>
    <row r="81" customFormat="false" ht="15" hidden="false" customHeight="true" outlineLevel="0" collapsed="false">
      <c r="A81" s="9" t="s">
        <v>193</v>
      </c>
      <c r="B81" s="9" t="s">
        <v>5314</v>
      </c>
      <c r="C81" s="15" t="n">
        <v>80000</v>
      </c>
      <c r="D81" s="9" t="s">
        <v>110</v>
      </c>
      <c r="E81" s="9" t="n">
        <v>2</v>
      </c>
      <c r="F81" s="9" t="s">
        <v>5315</v>
      </c>
      <c r="G81" s="9" t="s">
        <v>5316</v>
      </c>
      <c r="H81" s="14"/>
    </row>
    <row r="82" customFormat="false" ht="15" hidden="false" customHeight="true" outlineLevel="0" collapsed="false">
      <c r="A82" s="9" t="s">
        <v>193</v>
      </c>
      <c r="B82" s="9" t="s">
        <v>5317</v>
      </c>
      <c r="C82" s="15" t="n">
        <v>300000</v>
      </c>
      <c r="D82" s="9" t="s">
        <v>110</v>
      </c>
      <c r="E82" s="9" t="n">
        <v>3</v>
      </c>
      <c r="F82" s="9" t="s">
        <v>5318</v>
      </c>
      <c r="G82" s="9" t="s">
        <v>5319</v>
      </c>
      <c r="H82" s="14"/>
    </row>
    <row r="83" customFormat="false" ht="15" hidden="false" customHeight="true" outlineLevel="0" collapsed="false">
      <c r="A83" s="9" t="s">
        <v>193</v>
      </c>
      <c r="B83" s="9" t="s">
        <v>5320</v>
      </c>
      <c r="C83" s="15" t="n">
        <v>150000</v>
      </c>
      <c r="D83" s="9" t="s">
        <v>110</v>
      </c>
      <c r="E83" s="9" t="n">
        <v>3</v>
      </c>
      <c r="F83" s="9" t="s">
        <v>5321</v>
      </c>
      <c r="G83" s="9" t="s">
        <v>5322</v>
      </c>
      <c r="H83" s="14"/>
    </row>
    <row r="84" customFormat="false" ht="15" hidden="false" customHeight="true" outlineLevel="0" collapsed="false">
      <c r="A84" s="9" t="s">
        <v>193</v>
      </c>
      <c r="B84" s="9" t="s">
        <v>5323</v>
      </c>
      <c r="C84" s="15" t="n">
        <v>100000</v>
      </c>
      <c r="D84" s="9" t="s">
        <v>110</v>
      </c>
      <c r="E84" s="9" t="n">
        <v>3</v>
      </c>
      <c r="F84" s="9" t="s">
        <v>5324</v>
      </c>
      <c r="G84" s="9" t="s">
        <v>5325</v>
      </c>
      <c r="H84" s="14"/>
    </row>
    <row r="85" customFormat="false" ht="15" hidden="false" customHeight="true" outlineLevel="0" collapsed="false">
      <c r="A85" s="9" t="s">
        <v>193</v>
      </c>
      <c r="B85" s="9" t="s">
        <v>5326</v>
      </c>
      <c r="C85" s="15" t="n">
        <v>50000</v>
      </c>
      <c r="D85" s="9" t="s">
        <v>110</v>
      </c>
      <c r="E85" s="9" t="n">
        <v>3</v>
      </c>
      <c r="F85" s="9" t="s">
        <v>5181</v>
      </c>
      <c r="G85" s="9" t="s">
        <v>5327</v>
      </c>
      <c r="H85" s="14"/>
    </row>
    <row r="86" customFormat="false" ht="23.25" hidden="false" customHeight="true" outlineLevel="0" collapsed="false">
      <c r="A86" s="9" t="s">
        <v>193</v>
      </c>
      <c r="B86" s="9" t="s">
        <v>5328</v>
      </c>
      <c r="C86" s="15" t="n">
        <v>200000</v>
      </c>
      <c r="D86" s="9" t="s">
        <v>110</v>
      </c>
      <c r="E86" s="9" t="n">
        <v>4</v>
      </c>
      <c r="F86" s="9" t="s">
        <v>5329</v>
      </c>
      <c r="G86" s="9" t="s">
        <v>5330</v>
      </c>
      <c r="H86" s="14"/>
    </row>
    <row r="87" customFormat="false" ht="15" hidden="false" customHeight="true" outlineLevel="0" collapsed="false">
      <c r="A87" s="9" t="s">
        <v>193</v>
      </c>
      <c r="B87" s="9" t="s">
        <v>5331</v>
      </c>
      <c r="C87" s="15" t="n">
        <v>100000</v>
      </c>
      <c r="D87" s="9" t="s">
        <v>110</v>
      </c>
      <c r="E87" s="9" t="n">
        <v>4</v>
      </c>
      <c r="F87" s="9" t="s">
        <v>5332</v>
      </c>
      <c r="G87" s="9" t="s">
        <v>5333</v>
      </c>
      <c r="H87" s="14"/>
    </row>
    <row r="88" customFormat="false" ht="15" hidden="false" customHeight="true" outlineLevel="0" collapsed="false">
      <c r="A88" s="9" t="s">
        <v>193</v>
      </c>
      <c r="B88" s="9" t="s">
        <v>5334</v>
      </c>
      <c r="C88" s="15" t="n">
        <v>50000</v>
      </c>
      <c r="D88" s="9" t="s">
        <v>110</v>
      </c>
      <c r="E88" s="9" t="n">
        <v>4</v>
      </c>
      <c r="F88" s="9" t="s">
        <v>5215</v>
      </c>
      <c r="G88" s="9" t="s">
        <v>5335</v>
      </c>
      <c r="H88" s="14"/>
    </row>
    <row r="89" customFormat="false" ht="15" hidden="false" customHeight="true" outlineLevel="0" collapsed="false">
      <c r="A89" s="9" t="s">
        <v>193</v>
      </c>
      <c r="B89" s="9" t="s">
        <v>5288</v>
      </c>
      <c r="C89" s="15" t="n">
        <v>100000</v>
      </c>
      <c r="D89" s="9" t="s">
        <v>110</v>
      </c>
      <c r="E89" s="9" t="n">
        <v>4</v>
      </c>
      <c r="F89" s="9" t="s">
        <v>5336</v>
      </c>
      <c r="G89" s="9" t="s">
        <v>5337</v>
      </c>
      <c r="H89" s="14"/>
    </row>
    <row r="90" customFormat="false" ht="15" hidden="false" customHeight="true" outlineLevel="0" collapsed="false">
      <c r="A90" s="9" t="s">
        <v>210</v>
      </c>
      <c r="B90" s="9" t="s">
        <v>5338</v>
      </c>
      <c r="C90" s="15" t="n">
        <v>15000</v>
      </c>
      <c r="D90" s="9" t="s">
        <v>110</v>
      </c>
      <c r="E90" s="9" t="n">
        <v>1</v>
      </c>
      <c r="F90" s="9" t="s">
        <v>5224</v>
      </c>
      <c r="G90" s="9" t="s">
        <v>5339</v>
      </c>
      <c r="H90" s="14"/>
    </row>
    <row r="91" customFormat="false" ht="15" hidden="false" customHeight="true" outlineLevel="0" collapsed="false">
      <c r="A91" s="9" t="s">
        <v>210</v>
      </c>
      <c r="B91" s="9" t="s">
        <v>5340</v>
      </c>
      <c r="C91" s="15" t="n">
        <v>35000</v>
      </c>
      <c r="D91" s="9" t="s">
        <v>110</v>
      </c>
      <c r="E91" s="9" t="n">
        <v>1</v>
      </c>
      <c r="F91" s="9" t="s">
        <v>5181</v>
      </c>
      <c r="G91" s="9" t="s">
        <v>5341</v>
      </c>
      <c r="H91" s="14"/>
    </row>
    <row r="92" customFormat="false" ht="15" hidden="false" customHeight="true" outlineLevel="0" collapsed="false">
      <c r="A92" s="9" t="s">
        <v>210</v>
      </c>
      <c r="B92" s="9" t="s">
        <v>5342</v>
      </c>
      <c r="C92" s="15" t="n">
        <v>35000</v>
      </c>
      <c r="D92" s="9" t="s">
        <v>110</v>
      </c>
      <c r="E92" s="9" t="n">
        <v>2</v>
      </c>
      <c r="F92" s="9" t="s">
        <v>5203</v>
      </c>
      <c r="G92" s="9" t="s">
        <v>5343</v>
      </c>
      <c r="H92" s="14"/>
    </row>
    <row r="93" customFormat="false" ht="15" hidden="false" customHeight="true" outlineLevel="0" collapsed="false">
      <c r="A93" s="9" t="s">
        <v>210</v>
      </c>
      <c r="B93" s="9" t="s">
        <v>5344</v>
      </c>
      <c r="C93" s="15" t="n">
        <v>25000</v>
      </c>
      <c r="D93" s="9" t="s">
        <v>110</v>
      </c>
      <c r="E93" s="9" t="n">
        <v>2</v>
      </c>
      <c r="F93" s="9" t="s">
        <v>5345</v>
      </c>
      <c r="G93" s="9" t="s">
        <v>5346</v>
      </c>
      <c r="H93" s="14"/>
    </row>
    <row r="94" customFormat="false" ht="15" hidden="false" customHeight="true" outlineLevel="0" collapsed="false">
      <c r="A94" s="9" t="s">
        <v>210</v>
      </c>
      <c r="B94" s="9" t="s">
        <v>5347</v>
      </c>
      <c r="C94" s="15" t="n">
        <v>15000</v>
      </c>
      <c r="D94" s="9" t="s">
        <v>110</v>
      </c>
      <c r="E94" s="9" t="n">
        <v>2</v>
      </c>
      <c r="F94" s="9" t="s">
        <v>5181</v>
      </c>
      <c r="G94" s="9" t="s">
        <v>5348</v>
      </c>
      <c r="H94" s="14"/>
    </row>
    <row r="95" customFormat="false" ht="15" hidden="false" customHeight="true" outlineLevel="0" collapsed="false">
      <c r="A95" s="9" t="s">
        <v>210</v>
      </c>
      <c r="B95" s="9" t="s">
        <v>5349</v>
      </c>
      <c r="C95" s="15" t="n">
        <v>40000</v>
      </c>
      <c r="D95" s="9" t="s">
        <v>110</v>
      </c>
      <c r="E95" s="9" t="n">
        <v>2</v>
      </c>
      <c r="F95" s="9" t="s">
        <v>5350</v>
      </c>
      <c r="G95" s="9" t="s">
        <v>5351</v>
      </c>
      <c r="H95" s="14"/>
    </row>
    <row r="96" customFormat="false" ht="15" hidden="false" customHeight="true" outlineLevel="0" collapsed="false">
      <c r="A96" s="9" t="s">
        <v>210</v>
      </c>
      <c r="B96" s="9" t="s">
        <v>5352</v>
      </c>
      <c r="C96" s="15" t="n">
        <v>30000</v>
      </c>
      <c r="D96" s="9" t="s">
        <v>110</v>
      </c>
      <c r="E96" s="9" t="n">
        <v>2</v>
      </c>
      <c r="F96" s="9" t="s">
        <v>5224</v>
      </c>
      <c r="G96" s="9" t="s">
        <v>5353</v>
      </c>
      <c r="H96" s="14"/>
    </row>
    <row r="97" customFormat="false" ht="15" hidden="false" customHeight="true" outlineLevel="0" collapsed="false">
      <c r="A97" s="9" t="s">
        <v>210</v>
      </c>
      <c r="B97" s="9" t="s">
        <v>5354</v>
      </c>
      <c r="C97" s="15" t="n">
        <v>30000</v>
      </c>
      <c r="D97" s="9" t="s">
        <v>110</v>
      </c>
      <c r="E97" s="9" t="n">
        <v>2</v>
      </c>
      <c r="F97" s="9" t="s">
        <v>5355</v>
      </c>
      <c r="G97" s="9" t="s">
        <v>5356</v>
      </c>
      <c r="H97" s="14"/>
    </row>
    <row r="98" customFormat="false" ht="15" hidden="false" customHeight="true" outlineLevel="0" collapsed="false">
      <c r="A98" s="9" t="s">
        <v>210</v>
      </c>
      <c r="B98" s="9" t="s">
        <v>5357</v>
      </c>
      <c r="C98" s="15" t="n">
        <v>25000</v>
      </c>
      <c r="D98" s="9" t="s">
        <v>110</v>
      </c>
      <c r="E98" s="9" t="n">
        <v>3</v>
      </c>
      <c r="F98" s="9" t="s">
        <v>5181</v>
      </c>
      <c r="G98" s="9" t="s">
        <v>5358</v>
      </c>
      <c r="H98" s="14"/>
    </row>
    <row r="99" customFormat="false" ht="15" hidden="false" customHeight="true" outlineLevel="0" collapsed="false">
      <c r="A99" s="9" t="s">
        <v>210</v>
      </c>
      <c r="B99" s="9" t="s">
        <v>5359</v>
      </c>
      <c r="C99" s="15" t="n">
        <v>60000</v>
      </c>
      <c r="D99" s="9" t="s">
        <v>110</v>
      </c>
      <c r="E99" s="9" t="n">
        <v>3</v>
      </c>
      <c r="F99" s="9" t="s">
        <v>5360</v>
      </c>
      <c r="G99" s="9" t="s">
        <v>5361</v>
      </c>
      <c r="H99" s="14"/>
    </row>
    <row r="100" customFormat="false" ht="15" hidden="false" customHeight="true" outlineLevel="0" collapsed="false">
      <c r="A100" s="9" t="s">
        <v>210</v>
      </c>
      <c r="B100" s="9" t="s">
        <v>5362</v>
      </c>
      <c r="C100" s="15" t="n">
        <v>25000</v>
      </c>
      <c r="D100" s="9" t="s">
        <v>110</v>
      </c>
      <c r="E100" s="9" t="n">
        <v>3</v>
      </c>
      <c r="F100" s="9" t="s">
        <v>1133</v>
      </c>
      <c r="G100" s="9" t="s">
        <v>5363</v>
      </c>
      <c r="H100" s="14"/>
    </row>
    <row r="101" customFormat="false" ht="15" hidden="false" customHeight="true" outlineLevel="0" collapsed="false">
      <c r="A101" s="9" t="s">
        <v>210</v>
      </c>
      <c r="B101" s="9" t="s">
        <v>5364</v>
      </c>
      <c r="C101" s="15" t="n">
        <v>15000</v>
      </c>
      <c r="D101" s="9" t="s">
        <v>110</v>
      </c>
      <c r="E101" s="9" t="n">
        <v>3</v>
      </c>
      <c r="F101" s="9" t="s">
        <v>1134</v>
      </c>
      <c r="G101" s="9" t="s">
        <v>5365</v>
      </c>
      <c r="H101" s="14"/>
    </row>
    <row r="102" customFormat="false" ht="15" hidden="false" customHeight="true" outlineLevel="0" collapsed="false">
      <c r="A102" s="9" t="s">
        <v>210</v>
      </c>
      <c r="B102" s="9" t="s">
        <v>5366</v>
      </c>
      <c r="C102" s="15" t="n">
        <v>70000</v>
      </c>
      <c r="D102" s="9" t="s">
        <v>110</v>
      </c>
      <c r="E102" s="9" t="n">
        <v>4</v>
      </c>
      <c r="F102" s="9" t="s">
        <v>5367</v>
      </c>
      <c r="G102" s="9" t="s">
        <v>5368</v>
      </c>
      <c r="H102" s="14"/>
    </row>
    <row r="103" customFormat="false" ht="15" hidden="false" customHeight="true" outlineLevel="0" collapsed="false">
      <c r="A103" s="9" t="s">
        <v>210</v>
      </c>
      <c r="B103" s="9" t="s">
        <v>5369</v>
      </c>
      <c r="C103" s="15" t="n">
        <v>20000</v>
      </c>
      <c r="D103" s="9" t="s">
        <v>110</v>
      </c>
      <c r="E103" s="9" t="n">
        <v>4</v>
      </c>
      <c r="F103" s="9" t="s">
        <v>5224</v>
      </c>
      <c r="G103" s="9" t="s">
        <v>5370</v>
      </c>
      <c r="H103" s="14"/>
    </row>
    <row r="104" customFormat="false" ht="15" hidden="false" customHeight="true" outlineLevel="0" collapsed="false">
      <c r="A104" s="9" t="s">
        <v>210</v>
      </c>
      <c r="B104" s="9" t="s">
        <v>5371</v>
      </c>
      <c r="C104" s="15" t="n">
        <v>20000</v>
      </c>
      <c r="D104" s="9" t="s">
        <v>110</v>
      </c>
      <c r="E104" s="9" t="n">
        <v>4</v>
      </c>
      <c r="F104" s="9" t="s">
        <v>5224</v>
      </c>
      <c r="G104" s="9" t="s">
        <v>5372</v>
      </c>
      <c r="H104" s="14"/>
    </row>
    <row r="105" customFormat="false" ht="15" hidden="false" customHeight="true" outlineLevel="0" collapsed="false">
      <c r="A105" s="9" t="s">
        <v>210</v>
      </c>
      <c r="B105" s="9" t="s">
        <v>5288</v>
      </c>
      <c r="C105" s="15" t="n">
        <v>40000</v>
      </c>
      <c r="D105" s="9" t="s">
        <v>110</v>
      </c>
      <c r="E105" s="9" t="n">
        <v>4</v>
      </c>
      <c r="F105" s="9" t="s">
        <v>5355</v>
      </c>
      <c r="G105" s="9" t="s">
        <v>5373</v>
      </c>
      <c r="H105" s="14"/>
    </row>
    <row r="106" customFormat="false" ht="15" hidden="false" customHeight="true" outlineLevel="0" collapsed="false">
      <c r="A106" s="9" t="s">
        <v>227</v>
      </c>
      <c r="B106" s="9" t="s">
        <v>5374</v>
      </c>
      <c r="C106" s="15" t="n">
        <v>140000</v>
      </c>
      <c r="D106" s="9" t="s">
        <v>110</v>
      </c>
      <c r="E106" s="9" t="n">
        <v>1</v>
      </c>
      <c r="F106" s="9" t="s">
        <v>5253</v>
      </c>
      <c r="G106" s="9" t="s">
        <v>5375</v>
      </c>
      <c r="H106" s="14"/>
    </row>
    <row r="107" customFormat="false" ht="15" hidden="false" customHeight="true" outlineLevel="0" collapsed="false">
      <c r="A107" s="9" t="s">
        <v>227</v>
      </c>
      <c r="B107" s="9" t="s">
        <v>5376</v>
      </c>
      <c r="C107" s="15" t="n">
        <v>30000</v>
      </c>
      <c r="D107" s="9" t="s">
        <v>110</v>
      </c>
      <c r="E107" s="9" t="n">
        <v>1</v>
      </c>
      <c r="F107" s="9" t="s">
        <v>5181</v>
      </c>
      <c r="G107" s="9" t="s">
        <v>5377</v>
      </c>
      <c r="H107" s="14"/>
    </row>
    <row r="108" customFormat="false" ht="15" hidden="false" customHeight="true" outlineLevel="0" collapsed="false">
      <c r="A108" s="9" t="s">
        <v>227</v>
      </c>
      <c r="B108" s="9" t="s">
        <v>5378</v>
      </c>
      <c r="C108" s="15" t="n">
        <v>30000</v>
      </c>
      <c r="D108" s="9" t="s">
        <v>110</v>
      </c>
      <c r="E108" s="9" t="n">
        <v>1</v>
      </c>
      <c r="F108" s="9" t="s">
        <v>5224</v>
      </c>
      <c r="G108" s="9" t="s">
        <v>5379</v>
      </c>
      <c r="H108" s="14"/>
    </row>
    <row r="109" customFormat="false" ht="15" hidden="false" customHeight="true" outlineLevel="0" collapsed="false">
      <c r="A109" s="9" t="s">
        <v>227</v>
      </c>
      <c r="B109" s="9" t="s">
        <v>5380</v>
      </c>
      <c r="C109" s="15" t="n">
        <v>40000</v>
      </c>
      <c r="D109" s="9" t="s">
        <v>110</v>
      </c>
      <c r="E109" s="9" t="n">
        <v>2</v>
      </c>
      <c r="F109" s="9" t="s">
        <v>5224</v>
      </c>
      <c r="G109" s="9" t="s">
        <v>5381</v>
      </c>
      <c r="H109" s="14"/>
    </row>
    <row r="110" customFormat="false" ht="15" hidden="false" customHeight="true" outlineLevel="0" collapsed="false">
      <c r="A110" s="9" t="s">
        <v>227</v>
      </c>
      <c r="B110" s="9" t="s">
        <v>5382</v>
      </c>
      <c r="C110" s="15" t="n">
        <v>120000</v>
      </c>
      <c r="D110" s="9" t="s">
        <v>110</v>
      </c>
      <c r="E110" s="9" t="n">
        <v>2</v>
      </c>
      <c r="F110" s="9" t="s">
        <v>5253</v>
      </c>
      <c r="G110" s="9" t="s">
        <v>5383</v>
      </c>
      <c r="H110" s="14"/>
    </row>
    <row r="111" customFormat="false" ht="15" hidden="false" customHeight="true" outlineLevel="0" collapsed="false">
      <c r="A111" s="9" t="s">
        <v>227</v>
      </c>
      <c r="B111" s="9" t="s">
        <v>5384</v>
      </c>
      <c r="C111" s="15" t="n">
        <v>100000</v>
      </c>
      <c r="D111" s="9" t="s">
        <v>110</v>
      </c>
      <c r="E111" s="9" t="n">
        <v>3</v>
      </c>
      <c r="F111" s="9" t="s">
        <v>5332</v>
      </c>
      <c r="G111" s="9" t="s">
        <v>5385</v>
      </c>
      <c r="H111" s="14"/>
    </row>
    <row r="112" customFormat="false" ht="15" hidden="false" customHeight="true" outlineLevel="0" collapsed="false">
      <c r="A112" s="9" t="s">
        <v>227</v>
      </c>
      <c r="B112" s="9" t="s">
        <v>5386</v>
      </c>
      <c r="C112" s="15" t="n">
        <v>40000</v>
      </c>
      <c r="D112" s="9" t="s">
        <v>110</v>
      </c>
      <c r="E112" s="9" t="n">
        <v>3</v>
      </c>
      <c r="F112" s="9" t="s">
        <v>5224</v>
      </c>
      <c r="G112" s="9" t="s">
        <v>5387</v>
      </c>
      <c r="H112" s="14"/>
    </row>
    <row r="113" customFormat="false" ht="15" hidden="false" customHeight="true" outlineLevel="0" collapsed="false">
      <c r="A113" s="9" t="s">
        <v>227</v>
      </c>
      <c r="B113" s="9" t="s">
        <v>5388</v>
      </c>
      <c r="C113" s="15" t="n">
        <v>10000</v>
      </c>
      <c r="D113" s="9" t="s">
        <v>110</v>
      </c>
      <c r="E113" s="9" t="n">
        <v>3</v>
      </c>
      <c r="F113" s="9" t="s">
        <v>1133</v>
      </c>
      <c r="G113" s="9" t="s">
        <v>5389</v>
      </c>
      <c r="H113" s="14"/>
    </row>
    <row r="114" customFormat="false" ht="15" hidden="false" customHeight="true" outlineLevel="0" collapsed="false">
      <c r="A114" s="9" t="s">
        <v>227</v>
      </c>
      <c r="B114" s="9" t="s">
        <v>5390</v>
      </c>
      <c r="C114" s="15" t="n">
        <v>50000</v>
      </c>
      <c r="D114" s="9" t="s">
        <v>110</v>
      </c>
      <c r="E114" s="9" t="n">
        <v>3</v>
      </c>
      <c r="F114" s="9" t="s">
        <v>5215</v>
      </c>
      <c r="G114" s="9" t="s">
        <v>5391</v>
      </c>
      <c r="H114" s="14"/>
    </row>
    <row r="115" customFormat="false" ht="15" hidden="false" customHeight="true" outlineLevel="0" collapsed="false">
      <c r="A115" s="9" t="s">
        <v>227</v>
      </c>
      <c r="B115" s="9" t="s">
        <v>5392</v>
      </c>
      <c r="C115" s="15" t="n">
        <v>160000</v>
      </c>
      <c r="D115" s="9" t="s">
        <v>110</v>
      </c>
      <c r="E115" s="9" t="n">
        <v>4</v>
      </c>
      <c r="F115" s="9" t="s">
        <v>5181</v>
      </c>
      <c r="G115" s="9" t="s">
        <v>5393</v>
      </c>
      <c r="H115" s="14"/>
    </row>
    <row r="116" customFormat="false" ht="23.25" hidden="false" customHeight="true" outlineLevel="0" collapsed="false">
      <c r="A116" s="9" t="s">
        <v>227</v>
      </c>
      <c r="B116" s="9" t="s">
        <v>5394</v>
      </c>
      <c r="C116" s="15" t="n">
        <v>30000</v>
      </c>
      <c r="D116" s="9" t="s">
        <v>110</v>
      </c>
      <c r="E116" s="9" t="n">
        <v>4</v>
      </c>
      <c r="F116" s="9" t="s">
        <v>5395</v>
      </c>
      <c r="G116" s="9" t="s">
        <v>5396</v>
      </c>
      <c r="H116" s="14"/>
    </row>
    <row r="117" customFormat="false" ht="15" hidden="false" customHeight="true" outlineLevel="0" collapsed="false">
      <c r="A117" s="9" t="s">
        <v>227</v>
      </c>
      <c r="B117" s="9" t="s">
        <v>5288</v>
      </c>
      <c r="C117" s="15" t="n">
        <v>50000</v>
      </c>
      <c r="D117" s="9" t="s">
        <v>110</v>
      </c>
      <c r="E117" s="9" t="n">
        <v>4</v>
      </c>
      <c r="F117" s="9" t="s">
        <v>5355</v>
      </c>
      <c r="G117" s="9" t="s">
        <v>5397</v>
      </c>
      <c r="H117" s="14"/>
    </row>
    <row r="118" customFormat="false" ht="15" hidden="false" customHeight="true" outlineLevel="0" collapsed="false">
      <c r="A118" s="9" t="s">
        <v>244</v>
      </c>
      <c r="B118" s="9" t="s">
        <v>5398</v>
      </c>
      <c r="C118" s="15" t="n">
        <v>30000</v>
      </c>
      <c r="D118" s="9" t="s">
        <v>110</v>
      </c>
      <c r="E118" s="9" t="n">
        <v>1</v>
      </c>
      <c r="F118" s="9" t="s">
        <v>5399</v>
      </c>
      <c r="G118" s="9" t="s">
        <v>5400</v>
      </c>
      <c r="H118" s="14"/>
    </row>
    <row r="119" customFormat="false" ht="15" hidden="false" customHeight="true" outlineLevel="0" collapsed="false">
      <c r="A119" s="9" t="s">
        <v>244</v>
      </c>
      <c r="B119" s="9" t="s">
        <v>5401</v>
      </c>
      <c r="C119" s="15" t="n">
        <v>1000</v>
      </c>
      <c r="D119" s="9" t="s">
        <v>110</v>
      </c>
      <c r="E119" s="9" t="n">
        <v>2</v>
      </c>
      <c r="F119" s="9" t="s">
        <v>5402</v>
      </c>
      <c r="G119" s="9" t="s">
        <v>5403</v>
      </c>
      <c r="H119" s="14"/>
    </row>
    <row r="120" customFormat="false" ht="15" hidden="false" customHeight="true" outlineLevel="0" collapsed="false">
      <c r="A120" s="9" t="s">
        <v>244</v>
      </c>
      <c r="B120" s="9" t="s">
        <v>5404</v>
      </c>
      <c r="C120" s="15" t="n">
        <v>9000</v>
      </c>
      <c r="D120" s="9" t="s">
        <v>110</v>
      </c>
      <c r="E120" s="9" t="n">
        <v>2</v>
      </c>
      <c r="F120" s="9" t="s">
        <v>5405</v>
      </c>
      <c r="G120" s="9" t="s">
        <v>5406</v>
      </c>
      <c r="H120" s="14"/>
    </row>
    <row r="121" customFormat="false" ht="15" hidden="false" customHeight="true" outlineLevel="0" collapsed="false">
      <c r="A121" s="9" t="s">
        <v>244</v>
      </c>
      <c r="B121" s="9" t="s">
        <v>5407</v>
      </c>
      <c r="C121" s="15" t="n">
        <v>50000</v>
      </c>
      <c r="D121" s="9" t="s">
        <v>110</v>
      </c>
      <c r="E121" s="9" t="n">
        <v>2</v>
      </c>
      <c r="F121" s="9" t="s">
        <v>5408</v>
      </c>
      <c r="G121" s="9"/>
      <c r="H121" s="14"/>
    </row>
    <row r="122" customFormat="false" ht="15" hidden="false" customHeight="true" outlineLevel="0" collapsed="false">
      <c r="A122" s="9" t="s">
        <v>244</v>
      </c>
      <c r="B122" s="9" t="s">
        <v>5409</v>
      </c>
      <c r="C122" s="15" t="n">
        <v>60000</v>
      </c>
      <c r="D122" s="9" t="s">
        <v>110</v>
      </c>
      <c r="E122" s="9" t="n">
        <v>3</v>
      </c>
      <c r="F122" s="9" t="s">
        <v>5410</v>
      </c>
      <c r="G122" s="9" t="s">
        <v>5411</v>
      </c>
      <c r="H122" s="14"/>
    </row>
    <row r="123" customFormat="false" ht="15" hidden="false" customHeight="true" outlineLevel="0" collapsed="false">
      <c r="A123" s="9" t="s">
        <v>244</v>
      </c>
      <c r="B123" s="9" t="s">
        <v>5412</v>
      </c>
      <c r="C123" s="15" t="n">
        <v>60000</v>
      </c>
      <c r="D123" s="9" t="s">
        <v>110</v>
      </c>
      <c r="E123" s="9" t="n">
        <v>3</v>
      </c>
      <c r="F123" s="9" t="s">
        <v>5413</v>
      </c>
      <c r="G123" s="9"/>
      <c r="H123" s="14"/>
    </row>
    <row r="124" customFormat="false" ht="15" hidden="false" customHeight="true" outlineLevel="0" collapsed="false">
      <c r="A124" s="9" t="s">
        <v>244</v>
      </c>
      <c r="B124" s="9" t="s">
        <v>5414</v>
      </c>
      <c r="C124" s="15" t="n">
        <v>30000</v>
      </c>
      <c r="D124" s="9" t="s">
        <v>110</v>
      </c>
      <c r="E124" s="9" t="n">
        <v>3</v>
      </c>
      <c r="F124" s="9" t="s">
        <v>5415</v>
      </c>
      <c r="G124" s="9" t="s">
        <v>5416</v>
      </c>
      <c r="H124" s="14"/>
    </row>
    <row r="125" customFormat="false" ht="15" hidden="false" customHeight="true" outlineLevel="0" collapsed="false">
      <c r="A125" s="9" t="s">
        <v>244</v>
      </c>
      <c r="B125" s="9" t="s">
        <v>5417</v>
      </c>
      <c r="C125" s="15" t="n">
        <v>80000</v>
      </c>
      <c r="D125" s="9" t="s">
        <v>110</v>
      </c>
      <c r="E125" s="9" t="n">
        <v>4</v>
      </c>
      <c r="F125" s="9" t="s">
        <v>5418</v>
      </c>
      <c r="G125" s="9" t="s">
        <v>5419</v>
      </c>
      <c r="H125" s="14"/>
    </row>
    <row r="126" customFormat="false" ht="15" hidden="false" customHeight="true" outlineLevel="0" collapsed="false">
      <c r="A126" s="9" t="s">
        <v>244</v>
      </c>
      <c r="B126" s="9" t="s">
        <v>5420</v>
      </c>
      <c r="C126" s="15" t="n">
        <v>100000</v>
      </c>
      <c r="D126" s="9" t="s">
        <v>110</v>
      </c>
      <c r="E126" s="9" t="n">
        <v>4</v>
      </c>
      <c r="F126" s="9" t="s">
        <v>5421</v>
      </c>
      <c r="G126" s="9" t="s">
        <v>5422</v>
      </c>
      <c r="H126" s="14"/>
    </row>
    <row r="127" customFormat="false" ht="15" hidden="false" customHeight="true" outlineLevel="0" collapsed="false">
      <c r="A127" s="9" t="s">
        <v>244</v>
      </c>
      <c r="B127" s="9" t="s">
        <v>5423</v>
      </c>
      <c r="C127" s="15" t="n">
        <v>30000</v>
      </c>
      <c r="D127" s="9" t="s">
        <v>110</v>
      </c>
      <c r="E127" s="9" t="n">
        <v>4</v>
      </c>
      <c r="F127" s="9" t="s">
        <v>5181</v>
      </c>
      <c r="G127" s="9"/>
      <c r="H127" s="14"/>
    </row>
    <row r="128" customFormat="false" ht="15" hidden="false" customHeight="true" outlineLevel="0" collapsed="false">
      <c r="A128" s="9" t="s">
        <v>244</v>
      </c>
      <c r="B128" s="9" t="s">
        <v>5424</v>
      </c>
      <c r="C128" s="15" t="n">
        <v>30000</v>
      </c>
      <c r="D128" s="9" t="s">
        <v>110</v>
      </c>
      <c r="E128" s="9" t="n">
        <v>4</v>
      </c>
      <c r="F128" s="9" t="s">
        <v>5425</v>
      </c>
      <c r="G128" s="9"/>
      <c r="H128" s="14"/>
    </row>
    <row r="129" customFormat="false" ht="15" hidden="false" customHeight="true" outlineLevel="0" collapsed="false">
      <c r="A129" s="9" t="s">
        <v>244</v>
      </c>
      <c r="B129" s="9" t="s">
        <v>5426</v>
      </c>
      <c r="C129" s="15" t="n">
        <v>60000</v>
      </c>
      <c r="D129" s="9" t="s">
        <v>110</v>
      </c>
      <c r="E129" s="9" t="n">
        <v>5</v>
      </c>
      <c r="F129" s="9" t="s">
        <v>5427</v>
      </c>
      <c r="G129" s="9"/>
      <c r="H129" s="14"/>
    </row>
    <row r="130" customFormat="false" ht="15" hidden="false" customHeight="true" outlineLevel="0" collapsed="false">
      <c r="A130" s="9" t="s">
        <v>244</v>
      </c>
      <c r="B130" s="9" t="s">
        <v>5428</v>
      </c>
      <c r="C130" s="15" t="n">
        <v>10000</v>
      </c>
      <c r="D130" s="9" t="s">
        <v>110</v>
      </c>
      <c r="E130" s="9" t="n">
        <v>5</v>
      </c>
      <c r="F130" s="9" t="s">
        <v>5429</v>
      </c>
      <c r="G130" s="9"/>
      <c r="H130" s="14"/>
    </row>
    <row r="131" customFormat="false" ht="15" hidden="false" customHeight="true" outlineLevel="0" collapsed="false">
      <c r="A131" s="9" t="s">
        <v>244</v>
      </c>
      <c r="B131" s="9" t="s">
        <v>5430</v>
      </c>
      <c r="C131" s="15" t="n">
        <v>50000</v>
      </c>
      <c r="D131" s="9" t="s">
        <v>110</v>
      </c>
      <c r="E131" s="9" t="n">
        <v>5</v>
      </c>
      <c r="F131" s="9" t="s">
        <v>5431</v>
      </c>
      <c r="G131" s="9" t="s">
        <v>5432</v>
      </c>
      <c r="H131" s="14"/>
    </row>
    <row r="132" customFormat="false" ht="23.25" hidden="false" customHeight="true" outlineLevel="0" collapsed="false">
      <c r="A132" s="9" t="s">
        <v>260</v>
      </c>
      <c r="B132" s="9" t="s">
        <v>5433</v>
      </c>
      <c r="C132" s="11" t="n">
        <v>5000</v>
      </c>
      <c r="D132" s="9" t="s">
        <v>73</v>
      </c>
      <c r="E132" s="9" t="n">
        <v>1</v>
      </c>
      <c r="F132" s="9" t="s">
        <v>5434</v>
      </c>
      <c r="G132" s="9" t="s">
        <v>5435</v>
      </c>
      <c r="H132" s="14"/>
    </row>
    <row r="133" customFormat="false" ht="15" hidden="false" customHeight="true" outlineLevel="0" collapsed="false">
      <c r="A133" s="9" t="s">
        <v>260</v>
      </c>
      <c r="B133" s="9" t="s">
        <v>5436</v>
      </c>
      <c r="C133" s="11" t="n">
        <v>1000</v>
      </c>
      <c r="D133" s="9" t="s">
        <v>73</v>
      </c>
      <c r="E133" s="9" t="n">
        <v>1</v>
      </c>
      <c r="F133" s="9" t="s">
        <v>1136</v>
      </c>
      <c r="G133" s="9" t="s">
        <v>5437</v>
      </c>
      <c r="H133" s="14"/>
    </row>
    <row r="134" customFormat="false" ht="15" hidden="false" customHeight="true" outlineLevel="0" collapsed="false">
      <c r="A134" s="9" t="s">
        <v>260</v>
      </c>
      <c r="B134" s="9" t="s">
        <v>5438</v>
      </c>
      <c r="C134" s="11" t="n">
        <v>1250</v>
      </c>
      <c r="D134" s="9" t="s">
        <v>73</v>
      </c>
      <c r="E134" s="9" t="n">
        <v>1</v>
      </c>
      <c r="F134" s="9" t="s">
        <v>5439</v>
      </c>
      <c r="G134" s="9"/>
      <c r="H134" s="14"/>
    </row>
    <row r="135" customFormat="false" ht="15" hidden="false" customHeight="true" outlineLevel="0" collapsed="false">
      <c r="A135" s="9" t="s">
        <v>260</v>
      </c>
      <c r="B135" s="9" t="s">
        <v>5440</v>
      </c>
      <c r="C135" s="11" t="n">
        <v>1500</v>
      </c>
      <c r="D135" s="9" t="s">
        <v>73</v>
      </c>
      <c r="E135" s="9" t="n">
        <v>1</v>
      </c>
      <c r="F135" s="9" t="s">
        <v>50</v>
      </c>
      <c r="G135" s="9"/>
      <c r="H135" s="14"/>
    </row>
    <row r="136" customFormat="false" ht="15" hidden="false" customHeight="true" outlineLevel="0" collapsed="false">
      <c r="A136" s="9" t="s">
        <v>260</v>
      </c>
      <c r="B136" s="9" t="s">
        <v>5441</v>
      </c>
      <c r="C136" s="11" t="n">
        <v>1500</v>
      </c>
      <c r="D136" s="9" t="s">
        <v>73</v>
      </c>
      <c r="E136" s="9" t="n">
        <v>2</v>
      </c>
      <c r="F136" s="9" t="s">
        <v>5442</v>
      </c>
      <c r="G136" s="9" t="s">
        <v>5443</v>
      </c>
      <c r="H136" s="14"/>
    </row>
    <row r="137" customFormat="false" ht="15" hidden="false" customHeight="true" outlineLevel="0" collapsed="false">
      <c r="A137" s="9" t="s">
        <v>260</v>
      </c>
      <c r="B137" s="9" t="s">
        <v>5444</v>
      </c>
      <c r="C137" s="11" t="n">
        <v>1250</v>
      </c>
      <c r="D137" s="9" t="s">
        <v>73</v>
      </c>
      <c r="E137" s="9" t="n">
        <v>2</v>
      </c>
      <c r="F137" s="9" t="s">
        <v>5445</v>
      </c>
      <c r="G137" s="9"/>
      <c r="H137" s="14"/>
    </row>
    <row r="138" customFormat="false" ht="15" hidden="false" customHeight="true" outlineLevel="0" collapsed="false">
      <c r="A138" s="9" t="s">
        <v>260</v>
      </c>
      <c r="B138" s="9" t="s">
        <v>5446</v>
      </c>
      <c r="C138" s="11" t="n">
        <v>1500</v>
      </c>
      <c r="D138" s="9" t="s">
        <v>73</v>
      </c>
      <c r="E138" s="9" t="n">
        <v>2</v>
      </c>
      <c r="F138" s="9" t="s">
        <v>5215</v>
      </c>
      <c r="G138" s="9" t="s">
        <v>5447</v>
      </c>
      <c r="H138" s="14"/>
    </row>
    <row r="139" customFormat="false" ht="15" hidden="false" customHeight="true" outlineLevel="0" collapsed="false">
      <c r="A139" s="9" t="s">
        <v>260</v>
      </c>
      <c r="B139" s="9" t="s">
        <v>5448</v>
      </c>
      <c r="C139" s="11" t="n">
        <v>2000</v>
      </c>
      <c r="D139" s="9" t="s">
        <v>73</v>
      </c>
      <c r="E139" s="9" t="n">
        <v>2</v>
      </c>
      <c r="F139" s="9" t="s">
        <v>50</v>
      </c>
      <c r="G139" s="9"/>
      <c r="H139" s="14"/>
    </row>
    <row r="140" customFormat="false" ht="15" hidden="false" customHeight="true" outlineLevel="0" collapsed="false">
      <c r="A140" s="9" t="s">
        <v>260</v>
      </c>
      <c r="B140" s="9" t="s">
        <v>5449</v>
      </c>
      <c r="C140" s="11" t="n">
        <v>1800</v>
      </c>
      <c r="D140" s="9" t="s">
        <v>73</v>
      </c>
      <c r="E140" s="9" t="n">
        <v>3</v>
      </c>
      <c r="F140" s="9" t="s">
        <v>5450</v>
      </c>
      <c r="G140" s="9"/>
      <c r="H140" s="14"/>
    </row>
    <row r="141" customFormat="false" ht="15" hidden="false" customHeight="true" outlineLevel="0" collapsed="false">
      <c r="A141" s="9" t="s">
        <v>260</v>
      </c>
      <c r="B141" s="9" t="s">
        <v>5451</v>
      </c>
      <c r="C141" s="11" t="n">
        <v>1200</v>
      </c>
      <c r="D141" s="9" t="s">
        <v>73</v>
      </c>
      <c r="E141" s="9" t="n">
        <v>3</v>
      </c>
      <c r="F141" s="9" t="s">
        <v>5434</v>
      </c>
      <c r="G141" s="9" t="s">
        <v>5452</v>
      </c>
      <c r="H141" s="14"/>
    </row>
    <row r="142" customFormat="false" ht="15" hidden="false" customHeight="true" outlineLevel="0" collapsed="false">
      <c r="A142" s="9" t="s">
        <v>260</v>
      </c>
      <c r="B142" s="9" t="s">
        <v>5453</v>
      </c>
      <c r="C142" s="11" t="n">
        <v>2000</v>
      </c>
      <c r="D142" s="9" t="s">
        <v>73</v>
      </c>
      <c r="E142" s="9" t="n">
        <v>3</v>
      </c>
      <c r="F142" s="9" t="s">
        <v>5454</v>
      </c>
      <c r="G142" s="9"/>
      <c r="H142" s="14"/>
    </row>
    <row r="143" customFormat="false" ht="15" hidden="false" customHeight="true" outlineLevel="0" collapsed="false">
      <c r="A143" s="9" t="s">
        <v>260</v>
      </c>
      <c r="B143" s="9" t="s">
        <v>5455</v>
      </c>
      <c r="C143" s="11" t="n">
        <v>3000</v>
      </c>
      <c r="D143" s="9" t="s">
        <v>73</v>
      </c>
      <c r="E143" s="9" t="n">
        <v>4</v>
      </c>
      <c r="F143" s="9" t="s">
        <v>5456</v>
      </c>
      <c r="G143" s="9" t="s">
        <v>5457</v>
      </c>
      <c r="H143" s="14"/>
    </row>
    <row r="144" customFormat="false" ht="15" hidden="false" customHeight="true" outlineLevel="0" collapsed="false">
      <c r="A144" s="9" t="s">
        <v>260</v>
      </c>
      <c r="B144" s="9" t="s">
        <v>5458</v>
      </c>
      <c r="C144" s="11" t="n">
        <v>1200</v>
      </c>
      <c r="D144" s="9" t="s">
        <v>73</v>
      </c>
      <c r="E144" s="9" t="n">
        <v>4</v>
      </c>
      <c r="F144" s="9" t="s">
        <v>5459</v>
      </c>
      <c r="G144" s="9"/>
      <c r="H144" s="14"/>
    </row>
    <row r="145" customFormat="false" ht="15" hidden="false" customHeight="true" outlineLevel="0" collapsed="false">
      <c r="A145" s="9" t="s">
        <v>260</v>
      </c>
      <c r="B145" s="9" t="s">
        <v>5460</v>
      </c>
      <c r="C145" s="11" t="n">
        <v>800</v>
      </c>
      <c r="D145" s="9" t="s">
        <v>73</v>
      </c>
      <c r="E145" s="9" t="n">
        <v>4</v>
      </c>
      <c r="F145" s="9" t="s">
        <v>5461</v>
      </c>
      <c r="G145" s="9"/>
      <c r="H145" s="14"/>
    </row>
    <row r="146" customFormat="false" ht="15" hidden="false" customHeight="true" outlineLevel="0" collapsed="false">
      <c r="A146" s="9" t="s">
        <v>277</v>
      </c>
      <c r="B146" s="9" t="s">
        <v>5462</v>
      </c>
      <c r="C146" s="11" t="n">
        <v>600</v>
      </c>
      <c r="D146" s="9" t="s">
        <v>73</v>
      </c>
      <c r="E146" s="9" t="n">
        <v>1</v>
      </c>
      <c r="F146" s="9" t="s">
        <v>5463</v>
      </c>
      <c r="G146" s="9"/>
      <c r="H146" s="14"/>
    </row>
    <row r="147" customFormat="false" ht="15" hidden="false" customHeight="true" outlineLevel="0" collapsed="false">
      <c r="A147" s="9" t="s">
        <v>277</v>
      </c>
      <c r="B147" s="9" t="s">
        <v>5464</v>
      </c>
      <c r="C147" s="11" t="n">
        <v>400</v>
      </c>
      <c r="D147" s="9" t="s">
        <v>73</v>
      </c>
      <c r="E147" s="9" t="n">
        <v>1</v>
      </c>
      <c r="F147" s="9" t="s">
        <v>5465</v>
      </c>
      <c r="G147" s="9" t="s">
        <v>5466</v>
      </c>
      <c r="H147" s="14"/>
    </row>
    <row r="148" customFormat="false" ht="15" hidden="false" customHeight="true" outlineLevel="0" collapsed="false">
      <c r="A148" s="9" t="s">
        <v>277</v>
      </c>
      <c r="B148" s="9" t="s">
        <v>5467</v>
      </c>
      <c r="C148" s="11" t="n">
        <v>350</v>
      </c>
      <c r="D148" s="9" t="s">
        <v>73</v>
      </c>
      <c r="E148" s="9" t="n">
        <v>1</v>
      </c>
      <c r="F148" s="9" t="s">
        <v>5468</v>
      </c>
      <c r="G148" s="9"/>
      <c r="H148" s="14"/>
    </row>
    <row r="149" customFormat="false" ht="15" hidden="false" customHeight="true" outlineLevel="0" collapsed="false">
      <c r="A149" s="9" t="s">
        <v>277</v>
      </c>
      <c r="B149" s="9" t="s">
        <v>5469</v>
      </c>
      <c r="C149" s="11" t="n">
        <v>250</v>
      </c>
      <c r="D149" s="9" t="s">
        <v>73</v>
      </c>
      <c r="E149" s="9" t="n">
        <v>1</v>
      </c>
      <c r="F149" s="9" t="s">
        <v>1134</v>
      </c>
      <c r="G149" s="9"/>
      <c r="H149" s="14"/>
    </row>
    <row r="150" customFormat="false" ht="15" hidden="false" customHeight="true" outlineLevel="0" collapsed="false">
      <c r="A150" s="9" t="s">
        <v>277</v>
      </c>
      <c r="B150" s="9" t="s">
        <v>5470</v>
      </c>
      <c r="C150" s="11" t="n">
        <v>1500</v>
      </c>
      <c r="D150" s="9" t="s">
        <v>73</v>
      </c>
      <c r="E150" s="9" t="n">
        <v>2</v>
      </c>
      <c r="F150" s="9" t="s">
        <v>5465</v>
      </c>
      <c r="G150" s="9" t="s">
        <v>5471</v>
      </c>
      <c r="H150" s="14"/>
    </row>
    <row r="151" customFormat="false" ht="15" hidden="false" customHeight="true" outlineLevel="0" collapsed="false">
      <c r="A151" s="9" t="s">
        <v>277</v>
      </c>
      <c r="B151" s="9" t="s">
        <v>5472</v>
      </c>
      <c r="C151" s="11" t="n">
        <v>500</v>
      </c>
      <c r="D151" s="9" t="s">
        <v>73</v>
      </c>
      <c r="E151" s="9" t="n">
        <v>2</v>
      </c>
      <c r="F151" s="9" t="s">
        <v>5473</v>
      </c>
      <c r="G151" s="9"/>
      <c r="H151" s="14"/>
    </row>
    <row r="152" customFormat="false" ht="15" hidden="false" customHeight="true" outlineLevel="0" collapsed="false">
      <c r="A152" s="9" t="s">
        <v>277</v>
      </c>
      <c r="B152" s="9" t="s">
        <v>5474</v>
      </c>
      <c r="C152" s="11" t="n">
        <v>400</v>
      </c>
      <c r="D152" s="9" t="s">
        <v>73</v>
      </c>
      <c r="E152" s="9" t="n">
        <v>2</v>
      </c>
      <c r="F152" s="9" t="s">
        <v>5253</v>
      </c>
      <c r="G152" s="9" t="s">
        <v>5475</v>
      </c>
      <c r="H152" s="14"/>
    </row>
    <row r="153" customFormat="false" ht="15" hidden="false" customHeight="true" outlineLevel="0" collapsed="false">
      <c r="A153" s="9" t="s">
        <v>277</v>
      </c>
      <c r="B153" s="9" t="s">
        <v>5476</v>
      </c>
      <c r="C153" s="11" t="n">
        <v>1200</v>
      </c>
      <c r="D153" s="9" t="s">
        <v>73</v>
      </c>
      <c r="E153" s="9" t="n">
        <v>3</v>
      </c>
      <c r="F153" s="9" t="s">
        <v>1136</v>
      </c>
      <c r="G153" s="9"/>
      <c r="H153" s="14"/>
    </row>
    <row r="154" customFormat="false" ht="15" hidden="false" customHeight="true" outlineLevel="0" collapsed="false">
      <c r="A154" s="9" t="s">
        <v>277</v>
      </c>
      <c r="B154" s="9" t="s">
        <v>5477</v>
      </c>
      <c r="C154" s="11" t="n">
        <v>300</v>
      </c>
      <c r="D154" s="9" t="s">
        <v>73</v>
      </c>
      <c r="E154" s="9" t="n">
        <v>3</v>
      </c>
      <c r="F154" s="9" t="s">
        <v>5228</v>
      </c>
      <c r="G154" s="9"/>
      <c r="H154" s="14"/>
    </row>
    <row r="155" customFormat="false" ht="15" hidden="false" customHeight="true" outlineLevel="0" collapsed="false">
      <c r="A155" s="9" t="s">
        <v>277</v>
      </c>
      <c r="B155" s="9" t="s">
        <v>5478</v>
      </c>
      <c r="C155" s="11" t="n">
        <v>500</v>
      </c>
      <c r="D155" s="9" t="s">
        <v>73</v>
      </c>
      <c r="E155" s="9" t="n">
        <v>3</v>
      </c>
      <c r="F155" s="9" t="s">
        <v>5181</v>
      </c>
      <c r="G155" s="9"/>
      <c r="H155" s="14"/>
    </row>
    <row r="156" customFormat="false" ht="15" hidden="false" customHeight="true" outlineLevel="0" collapsed="false">
      <c r="A156" s="9" t="s">
        <v>277</v>
      </c>
      <c r="B156" s="9" t="s">
        <v>5479</v>
      </c>
      <c r="C156" s="11" t="n">
        <v>400</v>
      </c>
      <c r="D156" s="9" t="s">
        <v>73</v>
      </c>
      <c r="E156" s="9" t="n">
        <v>3</v>
      </c>
      <c r="F156" s="9" t="s">
        <v>5253</v>
      </c>
      <c r="G156" s="9"/>
      <c r="H156" s="14"/>
    </row>
    <row r="157" customFormat="false" ht="15" hidden="false" customHeight="true" outlineLevel="0" collapsed="false">
      <c r="A157" s="9" t="s">
        <v>277</v>
      </c>
      <c r="B157" s="9" t="s">
        <v>5480</v>
      </c>
      <c r="C157" s="11" t="n">
        <v>900</v>
      </c>
      <c r="D157" s="9" t="s">
        <v>73</v>
      </c>
      <c r="E157" s="9" t="n">
        <v>4</v>
      </c>
      <c r="F157" s="9" t="s">
        <v>5481</v>
      </c>
      <c r="G157" s="9"/>
      <c r="H157" s="14"/>
    </row>
    <row r="158" customFormat="false" ht="15" hidden="false" customHeight="true" outlineLevel="0" collapsed="false">
      <c r="A158" s="9" t="s">
        <v>277</v>
      </c>
      <c r="B158" s="9" t="s">
        <v>5482</v>
      </c>
      <c r="C158" s="11" t="n">
        <v>500</v>
      </c>
      <c r="D158" s="9" t="s">
        <v>73</v>
      </c>
      <c r="E158" s="9" t="n">
        <v>4</v>
      </c>
      <c r="F158" s="9" t="s">
        <v>5483</v>
      </c>
      <c r="G158" s="9" t="s">
        <v>5484</v>
      </c>
      <c r="H158" s="14"/>
    </row>
    <row r="159" customFormat="false" ht="15" hidden="false" customHeight="true" outlineLevel="0" collapsed="false">
      <c r="A159" s="9" t="s">
        <v>277</v>
      </c>
      <c r="B159" s="9" t="s">
        <v>5485</v>
      </c>
      <c r="C159" s="11" t="n">
        <v>200</v>
      </c>
      <c r="D159" s="9" t="s">
        <v>73</v>
      </c>
      <c r="E159" s="9" t="n">
        <v>4</v>
      </c>
      <c r="F159" s="9" t="s">
        <v>5465</v>
      </c>
      <c r="G159" s="9"/>
      <c r="H159" s="14"/>
    </row>
    <row r="160" customFormat="false" ht="15" hidden="false" customHeight="true" outlineLevel="0" collapsed="false">
      <c r="A160" s="9" t="s">
        <v>294</v>
      </c>
      <c r="B160" s="9" t="s">
        <v>5486</v>
      </c>
      <c r="C160" s="11" t="n">
        <v>4200</v>
      </c>
      <c r="D160" s="9" t="s">
        <v>73</v>
      </c>
      <c r="E160" s="9" t="n">
        <v>1</v>
      </c>
      <c r="F160" s="9" t="s">
        <v>5253</v>
      </c>
      <c r="G160" s="9" t="s">
        <v>5487</v>
      </c>
      <c r="H160" s="14"/>
    </row>
    <row r="161" customFormat="false" ht="15" hidden="false" customHeight="true" outlineLevel="0" collapsed="false">
      <c r="A161" s="9" t="s">
        <v>294</v>
      </c>
      <c r="B161" s="9" t="s">
        <v>5488</v>
      </c>
      <c r="C161" s="11" t="n">
        <v>600</v>
      </c>
      <c r="D161" s="9" t="s">
        <v>73</v>
      </c>
      <c r="E161" s="9" t="n">
        <v>1</v>
      </c>
      <c r="F161" s="9" t="s">
        <v>5181</v>
      </c>
      <c r="G161" s="9"/>
      <c r="H161" s="14"/>
    </row>
    <row r="162" customFormat="false" ht="15" hidden="false" customHeight="true" outlineLevel="0" collapsed="false">
      <c r="A162" s="9" t="s">
        <v>294</v>
      </c>
      <c r="B162" s="9" t="s">
        <v>5489</v>
      </c>
      <c r="C162" s="11" t="n">
        <v>600</v>
      </c>
      <c r="D162" s="9" t="s">
        <v>73</v>
      </c>
      <c r="E162" s="9" t="n">
        <v>1</v>
      </c>
      <c r="F162" s="9" t="s">
        <v>5490</v>
      </c>
      <c r="G162" s="9"/>
      <c r="H162" s="14"/>
    </row>
    <row r="163" customFormat="false" ht="15" hidden="false" customHeight="true" outlineLevel="0" collapsed="false">
      <c r="A163" s="9" t="s">
        <v>294</v>
      </c>
      <c r="B163" s="9" t="s">
        <v>5491</v>
      </c>
      <c r="C163" s="11" t="n">
        <v>1500</v>
      </c>
      <c r="D163" s="9" t="s">
        <v>73</v>
      </c>
      <c r="E163" s="9" t="n">
        <v>2</v>
      </c>
      <c r="F163" s="9" t="s">
        <v>5492</v>
      </c>
      <c r="G163" s="9"/>
      <c r="H163" s="14"/>
    </row>
    <row r="164" customFormat="false" ht="15" hidden="false" customHeight="true" outlineLevel="0" collapsed="false">
      <c r="A164" s="9" t="s">
        <v>294</v>
      </c>
      <c r="B164" s="9" t="s">
        <v>5493</v>
      </c>
      <c r="C164" s="11" t="n">
        <v>1500</v>
      </c>
      <c r="D164" s="9" t="s">
        <v>73</v>
      </c>
      <c r="E164" s="9" t="n">
        <v>2</v>
      </c>
      <c r="F164" s="9" t="s">
        <v>5494</v>
      </c>
      <c r="G164" s="9"/>
      <c r="H164" s="14"/>
    </row>
    <row r="165" customFormat="false" ht="15" hidden="false" customHeight="true" outlineLevel="0" collapsed="false">
      <c r="A165" s="9" t="s">
        <v>294</v>
      </c>
      <c r="B165" s="9" t="s">
        <v>5495</v>
      </c>
      <c r="C165" s="11" t="n">
        <v>2400</v>
      </c>
      <c r="D165" s="9" t="s">
        <v>73</v>
      </c>
      <c r="E165" s="9" t="n">
        <v>3</v>
      </c>
      <c r="F165" s="9" t="s">
        <v>5494</v>
      </c>
      <c r="G165" s="9"/>
      <c r="H165" s="14"/>
    </row>
    <row r="166" customFormat="false" ht="15" hidden="false" customHeight="true" outlineLevel="0" collapsed="false">
      <c r="A166" s="9" t="s">
        <v>294</v>
      </c>
      <c r="B166" s="9" t="s">
        <v>5496</v>
      </c>
      <c r="C166" s="11" t="n">
        <v>1200</v>
      </c>
      <c r="D166" s="9" t="s">
        <v>73</v>
      </c>
      <c r="E166" s="9" t="n">
        <v>3</v>
      </c>
      <c r="F166" s="9" t="s">
        <v>5497</v>
      </c>
      <c r="G166" s="9"/>
      <c r="H166" s="14"/>
    </row>
    <row r="167" customFormat="false" ht="15" hidden="false" customHeight="true" outlineLevel="0" collapsed="false">
      <c r="A167" s="9" t="s">
        <v>312</v>
      </c>
      <c r="B167" s="9" t="s">
        <v>5498</v>
      </c>
      <c r="C167" s="11" t="n">
        <v>2000</v>
      </c>
      <c r="D167" s="9" t="s">
        <v>73</v>
      </c>
      <c r="E167" s="9" t="n">
        <v>1</v>
      </c>
      <c r="F167" s="9" t="s">
        <v>5224</v>
      </c>
      <c r="G167" s="9" t="s">
        <v>5499</v>
      </c>
      <c r="H167" s="14"/>
    </row>
    <row r="168" customFormat="false" ht="15" hidden="false" customHeight="true" outlineLevel="0" collapsed="false">
      <c r="A168" s="9" t="s">
        <v>312</v>
      </c>
      <c r="B168" s="9" t="s">
        <v>5500</v>
      </c>
      <c r="C168" s="11" t="n">
        <v>1000</v>
      </c>
      <c r="D168" s="9" t="s">
        <v>73</v>
      </c>
      <c r="E168" s="9" t="n">
        <v>1</v>
      </c>
      <c r="F168" s="9" t="s">
        <v>5181</v>
      </c>
      <c r="G168" s="9"/>
      <c r="H168" s="14"/>
    </row>
    <row r="169" customFormat="false" ht="15" hidden="false" customHeight="true" outlineLevel="0" collapsed="false">
      <c r="A169" s="9" t="s">
        <v>312</v>
      </c>
      <c r="B169" s="9" t="s">
        <v>5501</v>
      </c>
      <c r="C169" s="11" t="n">
        <v>2000</v>
      </c>
      <c r="D169" s="9" t="s">
        <v>73</v>
      </c>
      <c r="E169" s="9" t="n">
        <v>2</v>
      </c>
      <c r="F169" s="9" t="s">
        <v>5502</v>
      </c>
      <c r="G169" s="9" t="s">
        <v>5503</v>
      </c>
      <c r="H169" s="14"/>
    </row>
    <row r="170" customFormat="false" ht="15" hidden="false" customHeight="true" outlineLevel="0" collapsed="false">
      <c r="A170" s="9" t="s">
        <v>312</v>
      </c>
      <c r="B170" s="9" t="s">
        <v>5504</v>
      </c>
      <c r="C170" s="11" t="n">
        <v>2500</v>
      </c>
      <c r="D170" s="9" t="s">
        <v>73</v>
      </c>
      <c r="E170" s="9" t="n">
        <v>2</v>
      </c>
      <c r="F170" s="9" t="s">
        <v>5505</v>
      </c>
      <c r="G170" s="9"/>
      <c r="H170" s="14"/>
    </row>
    <row r="171" customFormat="false" ht="15" hidden="false" customHeight="true" outlineLevel="0" collapsed="false">
      <c r="A171" s="9" t="s">
        <v>312</v>
      </c>
      <c r="B171" s="9" t="s">
        <v>5506</v>
      </c>
      <c r="C171" s="11" t="n">
        <v>2250</v>
      </c>
      <c r="D171" s="9" t="s">
        <v>73</v>
      </c>
      <c r="E171" s="9" t="n">
        <v>3</v>
      </c>
      <c r="F171" s="9" t="s">
        <v>5507</v>
      </c>
      <c r="G171" s="9"/>
      <c r="H171" s="14"/>
    </row>
    <row r="172" customFormat="false" ht="15" hidden="false" customHeight="true" outlineLevel="0" collapsed="false">
      <c r="A172" s="9" t="s">
        <v>312</v>
      </c>
      <c r="B172" s="9" t="s">
        <v>5508</v>
      </c>
      <c r="C172" s="11" t="n">
        <v>3500</v>
      </c>
      <c r="D172" s="9" t="s">
        <v>73</v>
      </c>
      <c r="E172" s="9" t="n">
        <v>4</v>
      </c>
      <c r="F172" s="9" t="s">
        <v>5509</v>
      </c>
      <c r="G172" s="9" t="s">
        <v>5510</v>
      </c>
      <c r="H172" s="14"/>
    </row>
    <row r="173" customFormat="false" ht="15" hidden="false" customHeight="true" outlineLevel="0" collapsed="false">
      <c r="A173" s="9" t="s">
        <v>312</v>
      </c>
      <c r="B173" s="9" t="s">
        <v>5511</v>
      </c>
      <c r="C173" s="11" t="n">
        <v>1750</v>
      </c>
      <c r="D173" s="9" t="s">
        <v>73</v>
      </c>
      <c r="E173" s="9" t="n">
        <v>4</v>
      </c>
      <c r="F173" s="9" t="s">
        <v>5181</v>
      </c>
      <c r="G173" s="9" t="s">
        <v>5512</v>
      </c>
      <c r="H173" s="14"/>
    </row>
    <row r="174" customFormat="false" ht="15" hidden="false" customHeight="true" outlineLevel="0" collapsed="false">
      <c r="A174" s="9" t="s">
        <v>326</v>
      </c>
      <c r="B174" s="9" t="s">
        <v>5513</v>
      </c>
      <c r="C174" s="15" t="n">
        <v>117000</v>
      </c>
      <c r="D174" s="9" t="s">
        <v>110</v>
      </c>
      <c r="E174" s="9" t="n">
        <v>1</v>
      </c>
      <c r="F174" s="9" t="s">
        <v>5514</v>
      </c>
      <c r="G174" s="9" t="s">
        <v>5515</v>
      </c>
      <c r="H174" s="14"/>
    </row>
    <row r="175" customFormat="false" ht="15" hidden="false" customHeight="true" outlineLevel="0" collapsed="false">
      <c r="A175" s="9" t="s">
        <v>326</v>
      </c>
      <c r="B175" s="9" t="s">
        <v>5516</v>
      </c>
      <c r="C175" s="15" t="n">
        <v>25000</v>
      </c>
      <c r="D175" s="9" t="s">
        <v>110</v>
      </c>
      <c r="E175" s="9" t="n">
        <v>1</v>
      </c>
      <c r="F175" s="9" t="s">
        <v>1133</v>
      </c>
      <c r="G175" s="9" t="s">
        <v>5517</v>
      </c>
      <c r="H175" s="14"/>
    </row>
    <row r="176" customFormat="false" ht="15" hidden="false" customHeight="true" outlineLevel="0" collapsed="false">
      <c r="A176" s="9" t="s">
        <v>326</v>
      </c>
      <c r="B176" s="9" t="s">
        <v>5518</v>
      </c>
      <c r="C176" s="15" t="n">
        <v>18000</v>
      </c>
      <c r="D176" s="9" t="s">
        <v>110</v>
      </c>
      <c r="E176" s="9" t="n">
        <v>1</v>
      </c>
      <c r="F176" s="9" t="s">
        <v>5224</v>
      </c>
      <c r="G176" s="9" t="s">
        <v>5519</v>
      </c>
      <c r="H176" s="14"/>
    </row>
    <row r="177" customFormat="false" ht="15" hidden="false" customHeight="true" outlineLevel="0" collapsed="false">
      <c r="A177" s="9" t="s">
        <v>326</v>
      </c>
      <c r="B177" s="9" t="s">
        <v>5520</v>
      </c>
      <c r="C177" s="15" t="n">
        <v>40000</v>
      </c>
      <c r="D177" s="9" t="s">
        <v>110</v>
      </c>
      <c r="E177" s="9" t="n">
        <v>2</v>
      </c>
      <c r="F177" s="9" t="s">
        <v>5521</v>
      </c>
      <c r="G177" s="9" t="s">
        <v>5522</v>
      </c>
      <c r="H177" s="14"/>
    </row>
    <row r="178" customFormat="false" ht="15" hidden="false" customHeight="true" outlineLevel="0" collapsed="false">
      <c r="A178" s="9" t="s">
        <v>326</v>
      </c>
      <c r="B178" s="9" t="s">
        <v>5523</v>
      </c>
      <c r="C178" s="15" t="n">
        <v>60000</v>
      </c>
      <c r="D178" s="9" t="s">
        <v>110</v>
      </c>
      <c r="E178" s="9" t="n">
        <v>3</v>
      </c>
      <c r="F178" s="9" t="s">
        <v>5524</v>
      </c>
      <c r="G178" s="9" t="s">
        <v>5525</v>
      </c>
      <c r="H178" s="14"/>
    </row>
    <row r="179" customFormat="false" ht="23.25" hidden="false" customHeight="true" outlineLevel="0" collapsed="false">
      <c r="A179" s="9" t="s">
        <v>326</v>
      </c>
      <c r="B179" s="9" t="s">
        <v>5526</v>
      </c>
      <c r="C179" s="15" t="n">
        <v>40000</v>
      </c>
      <c r="D179" s="9" t="s">
        <v>110</v>
      </c>
      <c r="E179" s="9" t="n">
        <v>3</v>
      </c>
      <c r="F179" s="9" t="s">
        <v>5527</v>
      </c>
      <c r="G179" s="9" t="s">
        <v>5528</v>
      </c>
      <c r="H179" s="14"/>
    </row>
    <row r="180" customFormat="false" ht="15" hidden="false" customHeight="true" outlineLevel="0" collapsed="false">
      <c r="A180" s="9" t="s">
        <v>326</v>
      </c>
      <c r="B180" s="9" t="s">
        <v>5529</v>
      </c>
      <c r="C180" s="15" t="n">
        <v>20000</v>
      </c>
      <c r="D180" s="9" t="s">
        <v>110</v>
      </c>
      <c r="E180" s="9" t="n">
        <v>3</v>
      </c>
      <c r="F180" s="9" t="s">
        <v>1138</v>
      </c>
      <c r="G180" s="9" t="s">
        <v>5530</v>
      </c>
      <c r="H180" s="14"/>
    </row>
    <row r="181" customFormat="false" ht="15" hidden="false" customHeight="true" outlineLevel="0" collapsed="false">
      <c r="A181" s="9" t="s">
        <v>326</v>
      </c>
      <c r="B181" s="9" t="s">
        <v>5531</v>
      </c>
      <c r="C181" s="15" t="n">
        <v>50000</v>
      </c>
      <c r="D181" s="9" t="s">
        <v>110</v>
      </c>
      <c r="E181" s="9" t="n">
        <v>4</v>
      </c>
      <c r="F181" s="9" t="s">
        <v>5181</v>
      </c>
      <c r="G181" s="9" t="s">
        <v>5532</v>
      </c>
      <c r="H181" s="14"/>
    </row>
    <row r="182" customFormat="false" ht="15" hidden="false" customHeight="true" outlineLevel="0" collapsed="false">
      <c r="A182" s="9" t="s">
        <v>326</v>
      </c>
      <c r="B182" s="9" t="s">
        <v>5533</v>
      </c>
      <c r="C182" s="15" t="n">
        <v>30000</v>
      </c>
      <c r="D182" s="9" t="s">
        <v>110</v>
      </c>
      <c r="E182" s="9" t="n">
        <v>4</v>
      </c>
      <c r="F182" s="9" t="s">
        <v>5534</v>
      </c>
      <c r="G182" s="9" t="s">
        <v>5535</v>
      </c>
      <c r="H182" s="14"/>
    </row>
    <row r="183" customFormat="false" ht="15" hidden="false" customHeight="true" outlineLevel="0" collapsed="false">
      <c r="A183" s="9" t="s">
        <v>342</v>
      </c>
      <c r="B183" s="9" t="s">
        <v>5536</v>
      </c>
      <c r="C183" s="11" t="n">
        <v>700</v>
      </c>
      <c r="D183" s="9" t="s">
        <v>73</v>
      </c>
      <c r="E183" s="9" t="n">
        <v>1</v>
      </c>
      <c r="F183" s="9" t="s">
        <v>5537</v>
      </c>
      <c r="G183" s="9" t="s">
        <v>5538</v>
      </c>
      <c r="H183" s="14"/>
    </row>
    <row r="184" customFormat="false" ht="15" hidden="false" customHeight="true" outlineLevel="0" collapsed="false">
      <c r="A184" s="9" t="s">
        <v>342</v>
      </c>
      <c r="B184" s="9" t="s">
        <v>5539</v>
      </c>
      <c r="C184" s="11" t="n">
        <v>2100</v>
      </c>
      <c r="D184" s="9" t="s">
        <v>73</v>
      </c>
      <c r="E184" s="9" t="n">
        <v>1</v>
      </c>
      <c r="F184" s="9" t="s">
        <v>5224</v>
      </c>
      <c r="G184" s="9"/>
      <c r="H184" s="14"/>
    </row>
    <row r="185" customFormat="false" ht="15" hidden="false" customHeight="true" outlineLevel="0" collapsed="false">
      <c r="A185" s="9" t="s">
        <v>342</v>
      </c>
      <c r="B185" s="9" t="s">
        <v>5540</v>
      </c>
      <c r="C185" s="11" t="n">
        <v>300</v>
      </c>
      <c r="D185" s="9" t="s">
        <v>73</v>
      </c>
      <c r="E185" s="9" t="n">
        <v>1</v>
      </c>
      <c r="F185" s="9" t="s">
        <v>5541</v>
      </c>
      <c r="G185" s="9"/>
      <c r="H185" s="14"/>
    </row>
    <row r="186" customFormat="false" ht="15" hidden="false" customHeight="true" outlineLevel="0" collapsed="false">
      <c r="A186" s="9" t="s">
        <v>342</v>
      </c>
      <c r="B186" s="9" t="s">
        <v>5542</v>
      </c>
      <c r="C186" s="11" t="n">
        <v>300</v>
      </c>
      <c r="D186" s="9" t="s">
        <v>73</v>
      </c>
      <c r="E186" s="9" t="n">
        <v>1</v>
      </c>
      <c r="F186" s="9" t="s">
        <v>5181</v>
      </c>
      <c r="G186" s="9"/>
      <c r="H186" s="14"/>
    </row>
    <row r="187" customFormat="false" ht="15" hidden="false" customHeight="true" outlineLevel="0" collapsed="false">
      <c r="A187" s="9" t="s">
        <v>342</v>
      </c>
      <c r="B187" s="9" t="s">
        <v>5543</v>
      </c>
      <c r="C187" s="11" t="n">
        <v>1800</v>
      </c>
      <c r="D187" s="9" t="s">
        <v>73</v>
      </c>
      <c r="E187" s="9" t="n">
        <v>2</v>
      </c>
      <c r="F187" s="9" t="s">
        <v>5537</v>
      </c>
      <c r="G187" s="9" t="s">
        <v>5544</v>
      </c>
      <c r="H187" s="14"/>
    </row>
    <row r="188" customFormat="false" ht="15" hidden="false" customHeight="true" outlineLevel="0" collapsed="false">
      <c r="A188" s="9" t="s">
        <v>342</v>
      </c>
      <c r="B188" s="9" t="s">
        <v>5545</v>
      </c>
      <c r="C188" s="11" t="n">
        <v>1400</v>
      </c>
      <c r="D188" s="9" t="s">
        <v>73</v>
      </c>
      <c r="E188" s="9" t="n">
        <v>2</v>
      </c>
      <c r="F188" s="9" t="s">
        <v>5287</v>
      </c>
      <c r="G188" s="9"/>
      <c r="H188" s="14"/>
    </row>
    <row r="189" customFormat="false" ht="15" hidden="false" customHeight="true" outlineLevel="0" collapsed="false">
      <c r="A189" s="9" t="s">
        <v>342</v>
      </c>
      <c r="B189" s="9" t="s">
        <v>5546</v>
      </c>
      <c r="C189" s="11" t="n">
        <v>1200</v>
      </c>
      <c r="D189" s="9" t="s">
        <v>73</v>
      </c>
      <c r="E189" s="9" t="n">
        <v>2</v>
      </c>
      <c r="F189" s="9" t="s">
        <v>5181</v>
      </c>
      <c r="G189" s="9"/>
      <c r="H189" s="14"/>
    </row>
    <row r="190" customFormat="false" ht="15" hidden="false" customHeight="true" outlineLevel="0" collapsed="false">
      <c r="A190" s="9" t="s">
        <v>342</v>
      </c>
      <c r="B190" s="9" t="s">
        <v>5547</v>
      </c>
      <c r="C190" s="11" t="n">
        <v>800</v>
      </c>
      <c r="D190" s="9" t="s">
        <v>73</v>
      </c>
      <c r="E190" s="9" t="n">
        <v>2</v>
      </c>
      <c r="F190" s="9" t="s">
        <v>5253</v>
      </c>
      <c r="G190" s="9"/>
      <c r="H190" s="14"/>
    </row>
    <row r="191" customFormat="false" ht="15" hidden="false" customHeight="true" outlineLevel="0" collapsed="false">
      <c r="A191" s="9" t="s">
        <v>342</v>
      </c>
      <c r="B191" s="9" t="s">
        <v>5548</v>
      </c>
      <c r="C191" s="11" t="n">
        <v>9400</v>
      </c>
      <c r="D191" s="9" t="s">
        <v>73</v>
      </c>
      <c r="E191" s="9" t="n">
        <v>2</v>
      </c>
      <c r="F191" s="9" t="s">
        <v>5549</v>
      </c>
      <c r="G191" s="9" t="s">
        <v>5550</v>
      </c>
      <c r="H191" s="14"/>
    </row>
  </sheetData>
  <autoFilter ref="A1:H1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45"/>
    <col collapsed="false" customWidth="true" hidden="false" outlineLevel="0" max="3" min="3" style="1" width="10"/>
    <col collapsed="false" customWidth="true" hidden="false" outlineLevel="0" max="4" min="4" style="1" width="40"/>
    <col collapsed="false" customWidth="true" hidden="false" outlineLevel="0" max="5" min="5" style="1" width="55"/>
    <col collapsed="false" customWidth="true" hidden="false" outlineLevel="0" max="6" min="6" style="1" width="14"/>
    <col collapsed="false" customWidth="true" hidden="false" outlineLevel="0" max="7" min="7" style="1" width="30"/>
  </cols>
  <sheetData>
    <row r="1" customFormat="false" ht="31.5" hidden="false" customHeight="true" outlineLevel="0" collapsed="false">
      <c r="A1" s="7" t="s">
        <v>41</v>
      </c>
      <c r="B1" s="7" t="s">
        <v>5551</v>
      </c>
      <c r="C1" s="7" t="s">
        <v>5552</v>
      </c>
      <c r="D1" s="7" t="s">
        <v>5553</v>
      </c>
      <c r="E1" s="7" t="s">
        <v>5554</v>
      </c>
      <c r="F1" s="7" t="s">
        <v>5555</v>
      </c>
      <c r="G1" s="7" t="s">
        <v>66</v>
      </c>
    </row>
    <row r="2" customFormat="false" ht="15" hidden="false" customHeight="true" outlineLevel="0" collapsed="false">
      <c r="A2" s="9" t="s">
        <v>67</v>
      </c>
      <c r="B2" s="9" t="s">
        <v>5556</v>
      </c>
      <c r="C2" s="9" t="s">
        <v>5557</v>
      </c>
      <c r="D2" s="9" t="s">
        <v>5558</v>
      </c>
      <c r="E2" s="9" t="s">
        <v>5559</v>
      </c>
      <c r="F2" s="9" t="s">
        <v>1137</v>
      </c>
      <c r="G2" s="14"/>
    </row>
    <row r="3" customFormat="false" ht="15" hidden="false" customHeight="true" outlineLevel="0" collapsed="false">
      <c r="A3" s="9" t="s">
        <v>67</v>
      </c>
      <c r="B3" s="9" t="s">
        <v>5560</v>
      </c>
      <c r="C3" s="9" t="s">
        <v>5561</v>
      </c>
      <c r="D3" s="9" t="s">
        <v>5562</v>
      </c>
      <c r="E3" s="9" t="s">
        <v>5563</v>
      </c>
      <c r="F3" s="9" t="s">
        <v>1134</v>
      </c>
      <c r="G3" s="14"/>
    </row>
    <row r="4" customFormat="false" ht="15" hidden="false" customHeight="true" outlineLevel="0" collapsed="false">
      <c r="A4" s="9" t="s">
        <v>67</v>
      </c>
      <c r="B4" s="9" t="s">
        <v>5564</v>
      </c>
      <c r="C4" s="9" t="s">
        <v>5557</v>
      </c>
      <c r="D4" s="9" t="s">
        <v>5565</v>
      </c>
      <c r="E4" s="9" t="s">
        <v>5566</v>
      </c>
      <c r="F4" s="9" t="s">
        <v>1133</v>
      </c>
      <c r="G4" s="14"/>
    </row>
    <row r="5" customFormat="false" ht="15" hidden="false" customHeight="true" outlineLevel="0" collapsed="false">
      <c r="A5" s="9" t="s">
        <v>67</v>
      </c>
      <c r="B5" s="9" t="s">
        <v>5567</v>
      </c>
      <c r="C5" s="9" t="s">
        <v>5561</v>
      </c>
      <c r="D5" s="9" t="s">
        <v>5568</v>
      </c>
      <c r="E5" s="9" t="s">
        <v>5569</v>
      </c>
      <c r="F5" s="9" t="s">
        <v>1138</v>
      </c>
      <c r="G5" s="14"/>
    </row>
    <row r="6" customFormat="false" ht="23.25" hidden="false" customHeight="true" outlineLevel="0" collapsed="false">
      <c r="A6" s="9" t="s">
        <v>87</v>
      </c>
      <c r="B6" s="9" t="s">
        <v>5570</v>
      </c>
      <c r="C6" s="9" t="s">
        <v>5561</v>
      </c>
      <c r="D6" s="9" t="s">
        <v>5571</v>
      </c>
      <c r="E6" s="9" t="s">
        <v>5572</v>
      </c>
      <c r="F6" s="9" t="s">
        <v>1137</v>
      </c>
      <c r="G6" s="14"/>
    </row>
    <row r="7" customFormat="false" ht="15" hidden="false" customHeight="true" outlineLevel="0" collapsed="false">
      <c r="A7" s="9" t="s">
        <v>87</v>
      </c>
      <c r="B7" s="9" t="s">
        <v>5573</v>
      </c>
      <c r="C7" s="9" t="s">
        <v>5557</v>
      </c>
      <c r="D7" s="9" t="s">
        <v>5574</v>
      </c>
      <c r="E7" s="9" t="s">
        <v>5575</v>
      </c>
      <c r="F7" s="9" t="s">
        <v>1138</v>
      </c>
      <c r="G7" s="14"/>
    </row>
    <row r="8" customFormat="false" ht="15" hidden="false" customHeight="true" outlineLevel="0" collapsed="false">
      <c r="A8" s="9" t="s">
        <v>87</v>
      </c>
      <c r="B8" s="9" t="s">
        <v>5576</v>
      </c>
      <c r="C8" s="9" t="s">
        <v>5577</v>
      </c>
      <c r="D8" s="9" t="s">
        <v>5578</v>
      </c>
      <c r="E8" s="9" t="s">
        <v>5579</v>
      </c>
      <c r="F8" s="9" t="s">
        <v>1134</v>
      </c>
      <c r="G8" s="14"/>
    </row>
    <row r="9" customFormat="false" ht="15" hidden="false" customHeight="true" outlineLevel="0" collapsed="false">
      <c r="A9" s="9" t="s">
        <v>87</v>
      </c>
      <c r="B9" s="9" t="s">
        <v>5580</v>
      </c>
      <c r="C9" s="9" t="s">
        <v>5561</v>
      </c>
      <c r="D9" s="9" t="s">
        <v>5581</v>
      </c>
      <c r="E9" s="9" t="s">
        <v>5582</v>
      </c>
      <c r="F9" s="9" t="s">
        <v>1133</v>
      </c>
      <c r="G9" s="14"/>
    </row>
    <row r="10" customFormat="false" ht="34.5" hidden="false" customHeight="true" outlineLevel="0" collapsed="false">
      <c r="A10" s="9" t="s">
        <v>104</v>
      </c>
      <c r="B10" s="9" t="s">
        <v>5583</v>
      </c>
      <c r="C10" s="9" t="s">
        <v>5557</v>
      </c>
      <c r="D10" s="9" t="s">
        <v>5584</v>
      </c>
      <c r="E10" s="9" t="s">
        <v>5585</v>
      </c>
      <c r="F10" s="9" t="s">
        <v>1133</v>
      </c>
      <c r="G10" s="14"/>
    </row>
    <row r="11" customFormat="false" ht="34.5" hidden="false" customHeight="true" outlineLevel="0" collapsed="false">
      <c r="A11" s="9" t="s">
        <v>104</v>
      </c>
      <c r="B11" s="9" t="s">
        <v>5586</v>
      </c>
      <c r="C11" s="9" t="s">
        <v>5557</v>
      </c>
      <c r="D11" s="9" t="s">
        <v>5587</v>
      </c>
      <c r="E11" s="9" t="s">
        <v>5588</v>
      </c>
      <c r="F11" s="9" t="s">
        <v>1135</v>
      </c>
      <c r="G11" s="14"/>
    </row>
    <row r="12" customFormat="false" ht="23.25" hidden="false" customHeight="true" outlineLevel="0" collapsed="false">
      <c r="A12" s="9" t="s">
        <v>104</v>
      </c>
      <c r="B12" s="9" t="s">
        <v>5589</v>
      </c>
      <c r="C12" s="9" t="s">
        <v>5561</v>
      </c>
      <c r="D12" s="9" t="s">
        <v>5590</v>
      </c>
      <c r="E12" s="9" t="s">
        <v>5591</v>
      </c>
      <c r="F12" s="9" t="s">
        <v>1137</v>
      </c>
      <c r="G12" s="14"/>
    </row>
    <row r="13" customFormat="false" ht="23.25" hidden="false" customHeight="true" outlineLevel="0" collapsed="false">
      <c r="A13" s="9" t="s">
        <v>104</v>
      </c>
      <c r="B13" s="9" t="s">
        <v>5592</v>
      </c>
      <c r="C13" s="9" t="s">
        <v>5561</v>
      </c>
      <c r="D13" s="9" t="s">
        <v>5593</v>
      </c>
      <c r="E13" s="9" t="s">
        <v>5594</v>
      </c>
      <c r="F13" s="9" t="s">
        <v>1137</v>
      </c>
      <c r="G13" s="14"/>
    </row>
    <row r="14" customFormat="false" ht="23.25" hidden="false" customHeight="true" outlineLevel="0" collapsed="false">
      <c r="A14" s="9" t="s">
        <v>104</v>
      </c>
      <c r="B14" s="9" t="s">
        <v>5595</v>
      </c>
      <c r="C14" s="9" t="s">
        <v>5561</v>
      </c>
      <c r="D14" s="9" t="s">
        <v>5596</v>
      </c>
      <c r="E14" s="9" t="s">
        <v>5597</v>
      </c>
      <c r="F14" s="9" t="s">
        <v>1138</v>
      </c>
      <c r="G14" s="14"/>
    </row>
    <row r="15" customFormat="false" ht="23.25" hidden="false" customHeight="true" outlineLevel="0" collapsed="false">
      <c r="A15" s="9" t="s">
        <v>124</v>
      </c>
      <c r="B15" s="9" t="s">
        <v>5598</v>
      </c>
      <c r="C15" s="9" t="s">
        <v>5557</v>
      </c>
      <c r="D15" s="9" t="s">
        <v>5599</v>
      </c>
      <c r="E15" s="9" t="s">
        <v>5600</v>
      </c>
      <c r="F15" s="9" t="s">
        <v>1135</v>
      </c>
      <c r="G15" s="14"/>
    </row>
    <row r="16" customFormat="false" ht="23.25" hidden="false" customHeight="true" outlineLevel="0" collapsed="false">
      <c r="A16" s="9" t="s">
        <v>124</v>
      </c>
      <c r="B16" s="9" t="s">
        <v>5601</v>
      </c>
      <c r="C16" s="9" t="s">
        <v>5561</v>
      </c>
      <c r="D16" s="9" t="s">
        <v>5602</v>
      </c>
      <c r="E16" s="9" t="s">
        <v>5603</v>
      </c>
      <c r="F16" s="9" t="s">
        <v>1136</v>
      </c>
      <c r="G16" s="14"/>
    </row>
    <row r="17" customFormat="false" ht="23.25" hidden="false" customHeight="true" outlineLevel="0" collapsed="false">
      <c r="A17" s="9" t="s">
        <v>124</v>
      </c>
      <c r="B17" s="9" t="s">
        <v>5604</v>
      </c>
      <c r="C17" s="9" t="s">
        <v>5561</v>
      </c>
      <c r="D17" s="9" t="s">
        <v>5605</v>
      </c>
      <c r="E17" s="9" t="s">
        <v>5606</v>
      </c>
      <c r="F17" s="9" t="s">
        <v>1137</v>
      </c>
      <c r="G17" s="14"/>
    </row>
    <row r="18" customFormat="false" ht="23.25" hidden="false" customHeight="true" outlineLevel="0" collapsed="false">
      <c r="A18" s="9" t="s">
        <v>124</v>
      </c>
      <c r="B18" s="9" t="s">
        <v>5607</v>
      </c>
      <c r="C18" s="9" t="s">
        <v>5561</v>
      </c>
      <c r="D18" s="9" t="s">
        <v>5608</v>
      </c>
      <c r="E18" s="9" t="s">
        <v>5609</v>
      </c>
      <c r="F18" s="9" t="s">
        <v>1133</v>
      </c>
      <c r="G18" s="14"/>
    </row>
    <row r="19" customFormat="false" ht="23.25" hidden="false" customHeight="true" outlineLevel="0" collapsed="false">
      <c r="A19" s="9" t="s">
        <v>124</v>
      </c>
      <c r="B19" s="9" t="s">
        <v>5610</v>
      </c>
      <c r="C19" s="9" t="s">
        <v>5561</v>
      </c>
      <c r="D19" s="9" t="s">
        <v>5611</v>
      </c>
      <c r="E19" s="9" t="s">
        <v>5612</v>
      </c>
      <c r="F19" s="9" t="s">
        <v>1134</v>
      </c>
      <c r="G19" s="14"/>
    </row>
    <row r="20" customFormat="false" ht="23.25" hidden="false" customHeight="true" outlineLevel="0" collapsed="false">
      <c r="A20" s="9" t="s">
        <v>139</v>
      </c>
      <c r="B20" s="9" t="s">
        <v>5613</v>
      </c>
      <c r="C20" s="9" t="s">
        <v>5557</v>
      </c>
      <c r="D20" s="9" t="s">
        <v>5614</v>
      </c>
      <c r="E20" s="9" t="s">
        <v>5615</v>
      </c>
      <c r="F20" s="9" t="s">
        <v>1133</v>
      </c>
      <c r="G20" s="14"/>
    </row>
    <row r="21" customFormat="false" ht="23.25" hidden="false" customHeight="true" outlineLevel="0" collapsed="false">
      <c r="A21" s="9" t="s">
        <v>139</v>
      </c>
      <c r="B21" s="9" t="s">
        <v>5616</v>
      </c>
      <c r="C21" s="9" t="s">
        <v>5577</v>
      </c>
      <c r="D21" s="9" t="s">
        <v>5617</v>
      </c>
      <c r="E21" s="9" t="s">
        <v>5618</v>
      </c>
      <c r="F21" s="9" t="s">
        <v>1135</v>
      </c>
      <c r="G21" s="14"/>
    </row>
    <row r="22" customFormat="false" ht="15" hidden="false" customHeight="true" outlineLevel="0" collapsed="false">
      <c r="A22" s="9" t="s">
        <v>139</v>
      </c>
      <c r="B22" s="9" t="s">
        <v>5619</v>
      </c>
      <c r="C22" s="9" t="s">
        <v>5561</v>
      </c>
      <c r="D22" s="9" t="s">
        <v>5620</v>
      </c>
      <c r="E22" s="9" t="s">
        <v>5621</v>
      </c>
      <c r="F22" s="9" t="s">
        <v>1137</v>
      </c>
      <c r="G22" s="14"/>
    </row>
    <row r="23" customFormat="false" ht="15" hidden="false" customHeight="true" outlineLevel="0" collapsed="false">
      <c r="A23" s="9" t="s">
        <v>139</v>
      </c>
      <c r="B23" s="9" t="s">
        <v>5622</v>
      </c>
      <c r="C23" s="9" t="s">
        <v>5561</v>
      </c>
      <c r="D23" s="9" t="s">
        <v>5623</v>
      </c>
      <c r="E23" s="9" t="s">
        <v>5624</v>
      </c>
      <c r="F23" s="9" t="s">
        <v>1136</v>
      </c>
      <c r="G23" s="14"/>
    </row>
    <row r="24" customFormat="false" ht="23.25" hidden="false" customHeight="true" outlineLevel="0" collapsed="false">
      <c r="A24" s="9" t="s">
        <v>139</v>
      </c>
      <c r="B24" s="9" t="s">
        <v>5625</v>
      </c>
      <c r="C24" s="9" t="s">
        <v>5557</v>
      </c>
      <c r="D24" s="9" t="s">
        <v>5626</v>
      </c>
      <c r="E24" s="9" t="s">
        <v>5627</v>
      </c>
      <c r="F24" s="9" t="s">
        <v>1134</v>
      </c>
      <c r="G24" s="14"/>
    </row>
    <row r="25" customFormat="false" ht="15" hidden="false" customHeight="true" outlineLevel="0" collapsed="false">
      <c r="A25" s="9" t="s">
        <v>157</v>
      </c>
      <c r="B25" s="9" t="s">
        <v>5628</v>
      </c>
      <c r="C25" s="9" t="s">
        <v>5561</v>
      </c>
      <c r="D25" s="9" t="s">
        <v>5629</v>
      </c>
      <c r="E25" s="9" t="s">
        <v>5630</v>
      </c>
      <c r="F25" s="9" t="s">
        <v>1138</v>
      </c>
      <c r="G25" s="14"/>
    </row>
    <row r="26" customFormat="false" ht="15" hidden="false" customHeight="true" outlineLevel="0" collapsed="false">
      <c r="A26" s="9" t="s">
        <v>157</v>
      </c>
      <c r="B26" s="9" t="s">
        <v>5631</v>
      </c>
      <c r="C26" s="9" t="s">
        <v>5557</v>
      </c>
      <c r="D26" s="9" t="s">
        <v>5632</v>
      </c>
      <c r="E26" s="9" t="s">
        <v>5633</v>
      </c>
      <c r="F26" s="9" t="s">
        <v>1134</v>
      </c>
      <c r="G26" s="14"/>
    </row>
    <row r="27" customFormat="false" ht="15" hidden="false" customHeight="true" outlineLevel="0" collapsed="false">
      <c r="A27" s="9" t="s">
        <v>157</v>
      </c>
      <c r="B27" s="9" t="s">
        <v>5634</v>
      </c>
      <c r="C27" s="9" t="s">
        <v>5577</v>
      </c>
      <c r="D27" s="9" t="s">
        <v>5635</v>
      </c>
      <c r="E27" s="9" t="s">
        <v>5636</v>
      </c>
      <c r="F27" s="9" t="s">
        <v>1133</v>
      </c>
      <c r="G27" s="14"/>
    </row>
    <row r="28" customFormat="false" ht="15" hidden="false" customHeight="true" outlineLevel="0" collapsed="false">
      <c r="A28" s="9" t="s">
        <v>157</v>
      </c>
      <c r="B28" s="9" t="s">
        <v>5637</v>
      </c>
      <c r="C28" s="9" t="s">
        <v>5561</v>
      </c>
      <c r="D28" s="9" t="s">
        <v>5638</v>
      </c>
      <c r="E28" s="9" t="s">
        <v>5639</v>
      </c>
      <c r="F28" s="9" t="s">
        <v>1137</v>
      </c>
      <c r="G28" s="14"/>
    </row>
    <row r="29" customFormat="false" ht="15" hidden="false" customHeight="true" outlineLevel="0" collapsed="false">
      <c r="A29" s="9" t="s">
        <v>157</v>
      </c>
      <c r="B29" s="9" t="s">
        <v>5640</v>
      </c>
      <c r="C29" s="9" t="s">
        <v>5577</v>
      </c>
      <c r="D29" s="9" t="s">
        <v>5641</v>
      </c>
      <c r="E29" s="9" t="s">
        <v>5642</v>
      </c>
      <c r="F29" s="9" t="s">
        <v>1133</v>
      </c>
      <c r="G29" s="14"/>
    </row>
    <row r="30" customFormat="false" ht="15" hidden="false" customHeight="true" outlineLevel="0" collapsed="false">
      <c r="A30" s="9" t="s">
        <v>174</v>
      </c>
      <c r="B30" s="9" t="s">
        <v>5643</v>
      </c>
      <c r="C30" s="9" t="s">
        <v>5561</v>
      </c>
      <c r="D30" s="9" t="s">
        <v>5644</v>
      </c>
      <c r="E30" s="9" t="s">
        <v>5645</v>
      </c>
      <c r="F30" s="9" t="s">
        <v>1134</v>
      </c>
      <c r="G30" s="14"/>
    </row>
    <row r="31" customFormat="false" ht="23.25" hidden="false" customHeight="true" outlineLevel="0" collapsed="false">
      <c r="A31" s="9" t="s">
        <v>174</v>
      </c>
      <c r="B31" s="9" t="s">
        <v>5646</v>
      </c>
      <c r="C31" s="9" t="s">
        <v>5557</v>
      </c>
      <c r="D31" s="9" t="s">
        <v>5647</v>
      </c>
      <c r="E31" s="9" t="s">
        <v>5648</v>
      </c>
      <c r="F31" s="9" t="s">
        <v>1137</v>
      </c>
      <c r="G31" s="14"/>
    </row>
    <row r="32" customFormat="false" ht="23.25" hidden="false" customHeight="true" outlineLevel="0" collapsed="false">
      <c r="A32" s="9" t="s">
        <v>174</v>
      </c>
      <c r="B32" s="9" t="s">
        <v>5649</v>
      </c>
      <c r="C32" s="9" t="s">
        <v>5577</v>
      </c>
      <c r="D32" s="9" t="s">
        <v>5650</v>
      </c>
      <c r="E32" s="9" t="s">
        <v>5651</v>
      </c>
      <c r="F32" s="9" t="s">
        <v>1133</v>
      </c>
      <c r="G32" s="14"/>
    </row>
    <row r="33" customFormat="false" ht="23.25" hidden="false" customHeight="true" outlineLevel="0" collapsed="false">
      <c r="A33" s="9" t="s">
        <v>174</v>
      </c>
      <c r="B33" s="9" t="s">
        <v>5652</v>
      </c>
      <c r="C33" s="9" t="s">
        <v>5561</v>
      </c>
      <c r="D33" s="9" t="s">
        <v>5653</v>
      </c>
      <c r="E33" s="9" t="s">
        <v>5654</v>
      </c>
      <c r="F33" s="9" t="s">
        <v>1135</v>
      </c>
      <c r="G33" s="14"/>
    </row>
    <row r="34" customFormat="false" ht="23.25" hidden="false" customHeight="true" outlineLevel="0" collapsed="false">
      <c r="A34" s="9" t="s">
        <v>193</v>
      </c>
      <c r="B34" s="9" t="s">
        <v>5655</v>
      </c>
      <c r="C34" s="9" t="s">
        <v>5561</v>
      </c>
      <c r="D34" s="9" t="s">
        <v>5656</v>
      </c>
      <c r="E34" s="9" t="s">
        <v>5657</v>
      </c>
      <c r="F34" s="9" t="s">
        <v>1133</v>
      </c>
      <c r="G34" s="14"/>
    </row>
    <row r="35" customFormat="false" ht="23.25" hidden="false" customHeight="true" outlineLevel="0" collapsed="false">
      <c r="A35" s="9" t="s">
        <v>193</v>
      </c>
      <c r="B35" s="9" t="s">
        <v>5658</v>
      </c>
      <c r="C35" s="9" t="s">
        <v>5561</v>
      </c>
      <c r="D35" s="9" t="s">
        <v>5659</v>
      </c>
      <c r="E35" s="9" t="s">
        <v>5660</v>
      </c>
      <c r="F35" s="9" t="s">
        <v>1137</v>
      </c>
      <c r="G35" s="14"/>
    </row>
    <row r="36" customFormat="false" ht="23.25" hidden="false" customHeight="true" outlineLevel="0" collapsed="false">
      <c r="A36" s="9" t="s">
        <v>193</v>
      </c>
      <c r="B36" s="9" t="s">
        <v>5661</v>
      </c>
      <c r="C36" s="9" t="s">
        <v>5561</v>
      </c>
      <c r="D36" s="9" t="s">
        <v>5662</v>
      </c>
      <c r="E36" s="9" t="s">
        <v>5663</v>
      </c>
      <c r="F36" s="9" t="s">
        <v>1133</v>
      </c>
      <c r="G36" s="14"/>
    </row>
    <row r="37" customFormat="false" ht="23.25" hidden="false" customHeight="true" outlineLevel="0" collapsed="false">
      <c r="A37" s="9" t="s">
        <v>193</v>
      </c>
      <c r="B37" s="9" t="s">
        <v>5664</v>
      </c>
      <c r="C37" s="9" t="s">
        <v>5557</v>
      </c>
      <c r="D37" s="9" t="s">
        <v>5665</v>
      </c>
      <c r="E37" s="9" t="s">
        <v>5666</v>
      </c>
      <c r="F37" s="9" t="s">
        <v>1134</v>
      </c>
      <c r="G37" s="14"/>
    </row>
    <row r="38" customFormat="false" ht="23.25" hidden="false" customHeight="true" outlineLevel="0" collapsed="false">
      <c r="A38" s="9" t="s">
        <v>193</v>
      </c>
      <c r="B38" s="9" t="s">
        <v>5667</v>
      </c>
      <c r="C38" s="9" t="s">
        <v>5561</v>
      </c>
      <c r="D38" s="9" t="s">
        <v>5668</v>
      </c>
      <c r="E38" s="9" t="s">
        <v>5669</v>
      </c>
      <c r="F38" s="9" t="s">
        <v>1135</v>
      </c>
      <c r="G38" s="14"/>
    </row>
    <row r="39" customFormat="false" ht="23.25" hidden="false" customHeight="true" outlineLevel="0" collapsed="false">
      <c r="A39" s="9" t="s">
        <v>210</v>
      </c>
      <c r="B39" s="9" t="s">
        <v>5670</v>
      </c>
      <c r="C39" s="9" t="s">
        <v>5561</v>
      </c>
      <c r="D39" s="9" t="s">
        <v>5671</v>
      </c>
      <c r="E39" s="9" t="s">
        <v>5672</v>
      </c>
      <c r="F39" s="9" t="s">
        <v>1133</v>
      </c>
      <c r="G39" s="14"/>
    </row>
    <row r="40" customFormat="false" ht="23.25" hidden="false" customHeight="true" outlineLevel="0" collapsed="false">
      <c r="A40" s="9" t="s">
        <v>210</v>
      </c>
      <c r="B40" s="9" t="s">
        <v>5673</v>
      </c>
      <c r="C40" s="9" t="s">
        <v>5557</v>
      </c>
      <c r="D40" s="9" t="s">
        <v>5674</v>
      </c>
      <c r="E40" s="9" t="s">
        <v>5675</v>
      </c>
      <c r="F40" s="9" t="s">
        <v>1134</v>
      </c>
      <c r="G40" s="14"/>
    </row>
    <row r="41" customFormat="false" ht="15" hidden="false" customHeight="true" outlineLevel="0" collapsed="false">
      <c r="A41" s="9" t="s">
        <v>210</v>
      </c>
      <c r="B41" s="9" t="s">
        <v>5676</v>
      </c>
      <c r="C41" s="9" t="s">
        <v>5557</v>
      </c>
      <c r="D41" s="9" t="s">
        <v>5677</v>
      </c>
      <c r="E41" s="9" t="s">
        <v>5678</v>
      </c>
      <c r="F41" s="9" t="s">
        <v>1137</v>
      </c>
      <c r="G41" s="14"/>
    </row>
    <row r="42" customFormat="false" ht="23.25" hidden="false" customHeight="true" outlineLevel="0" collapsed="false">
      <c r="A42" s="9" t="s">
        <v>210</v>
      </c>
      <c r="B42" s="9" t="s">
        <v>5679</v>
      </c>
      <c r="C42" s="9" t="s">
        <v>5561</v>
      </c>
      <c r="D42" s="9" t="s">
        <v>5680</v>
      </c>
      <c r="E42" s="9" t="s">
        <v>5681</v>
      </c>
      <c r="F42" s="9" t="s">
        <v>1137</v>
      </c>
      <c r="G42" s="14"/>
    </row>
    <row r="43" customFormat="false" ht="23.25" hidden="false" customHeight="true" outlineLevel="0" collapsed="false">
      <c r="A43" s="9" t="s">
        <v>210</v>
      </c>
      <c r="B43" s="9" t="s">
        <v>5682</v>
      </c>
      <c r="C43" s="9" t="s">
        <v>5561</v>
      </c>
      <c r="D43" s="9" t="s">
        <v>5683</v>
      </c>
      <c r="E43" s="9" t="s">
        <v>5684</v>
      </c>
      <c r="F43" s="9" t="s">
        <v>1134</v>
      </c>
      <c r="G43" s="14"/>
    </row>
    <row r="44" customFormat="false" ht="15" hidden="false" customHeight="true" outlineLevel="0" collapsed="false">
      <c r="A44" s="9" t="s">
        <v>227</v>
      </c>
      <c r="B44" s="9" t="s">
        <v>5685</v>
      </c>
      <c r="C44" s="9" t="s">
        <v>5561</v>
      </c>
      <c r="D44" s="9" t="s">
        <v>5617</v>
      </c>
      <c r="E44" s="9" t="s">
        <v>5686</v>
      </c>
      <c r="F44" s="9" t="s">
        <v>1133</v>
      </c>
      <c r="G44" s="14"/>
    </row>
    <row r="45" customFormat="false" ht="23.25" hidden="false" customHeight="true" outlineLevel="0" collapsed="false">
      <c r="A45" s="9" t="s">
        <v>227</v>
      </c>
      <c r="B45" s="9" t="s">
        <v>5687</v>
      </c>
      <c r="C45" s="9" t="s">
        <v>5561</v>
      </c>
      <c r="D45" s="9" t="s">
        <v>5688</v>
      </c>
      <c r="E45" s="9" t="s">
        <v>5689</v>
      </c>
      <c r="F45" s="9" t="s">
        <v>1134</v>
      </c>
      <c r="G45" s="14"/>
    </row>
    <row r="46" customFormat="false" ht="15" hidden="false" customHeight="true" outlineLevel="0" collapsed="false">
      <c r="A46" s="9" t="s">
        <v>227</v>
      </c>
      <c r="B46" s="9" t="s">
        <v>5690</v>
      </c>
      <c r="C46" s="9" t="s">
        <v>5557</v>
      </c>
      <c r="D46" s="9" t="s">
        <v>5691</v>
      </c>
      <c r="E46" s="9" t="s">
        <v>5692</v>
      </c>
      <c r="F46" s="9" t="s">
        <v>1137</v>
      </c>
      <c r="G46" s="14"/>
    </row>
    <row r="47" customFormat="false" ht="23.25" hidden="false" customHeight="true" outlineLevel="0" collapsed="false">
      <c r="A47" s="9" t="s">
        <v>227</v>
      </c>
      <c r="B47" s="9" t="s">
        <v>5693</v>
      </c>
      <c r="C47" s="9" t="s">
        <v>5557</v>
      </c>
      <c r="D47" s="9" t="s">
        <v>5694</v>
      </c>
      <c r="E47" s="9" t="s">
        <v>5695</v>
      </c>
      <c r="F47" s="9" t="s">
        <v>1135</v>
      </c>
      <c r="G47" s="14"/>
    </row>
    <row r="48" customFormat="false" ht="15" hidden="false" customHeight="true" outlineLevel="0" collapsed="false">
      <c r="A48" s="9" t="s">
        <v>227</v>
      </c>
      <c r="B48" s="9" t="s">
        <v>5696</v>
      </c>
      <c r="C48" s="9" t="s">
        <v>5557</v>
      </c>
      <c r="D48" s="9" t="s">
        <v>5697</v>
      </c>
      <c r="E48" s="9" t="s">
        <v>5698</v>
      </c>
      <c r="F48" s="9" t="s">
        <v>1136</v>
      </c>
      <c r="G48" s="14"/>
    </row>
    <row r="49" customFormat="false" ht="23.25" hidden="false" customHeight="true" outlineLevel="0" collapsed="false">
      <c r="A49" s="9" t="s">
        <v>244</v>
      </c>
      <c r="B49" s="9" t="s">
        <v>5699</v>
      </c>
      <c r="C49" s="9" t="s">
        <v>5557</v>
      </c>
      <c r="D49" s="9" t="s">
        <v>5700</v>
      </c>
      <c r="E49" s="9" t="s">
        <v>5701</v>
      </c>
      <c r="F49" s="9" t="s">
        <v>1133</v>
      </c>
      <c r="G49" s="14"/>
    </row>
    <row r="50" customFormat="false" ht="23.25" hidden="false" customHeight="true" outlineLevel="0" collapsed="false">
      <c r="A50" s="9" t="s">
        <v>244</v>
      </c>
      <c r="B50" s="9" t="s">
        <v>5702</v>
      </c>
      <c r="C50" s="9" t="s">
        <v>5561</v>
      </c>
      <c r="D50" s="9" t="s">
        <v>5703</v>
      </c>
      <c r="E50" s="9" t="s">
        <v>5704</v>
      </c>
      <c r="F50" s="9" t="s">
        <v>1135</v>
      </c>
      <c r="G50" s="14"/>
    </row>
    <row r="51" customFormat="false" ht="15" hidden="false" customHeight="true" outlineLevel="0" collapsed="false">
      <c r="A51" s="9" t="s">
        <v>244</v>
      </c>
      <c r="B51" s="9" t="s">
        <v>5705</v>
      </c>
      <c r="C51" s="9" t="s">
        <v>5561</v>
      </c>
      <c r="D51" s="9" t="s">
        <v>5706</v>
      </c>
      <c r="E51" s="9" t="s">
        <v>5707</v>
      </c>
      <c r="F51" s="9" t="s">
        <v>1138</v>
      </c>
      <c r="G51" s="14"/>
    </row>
    <row r="52" customFormat="false" ht="15" hidden="false" customHeight="true" outlineLevel="0" collapsed="false">
      <c r="A52" s="9" t="s">
        <v>244</v>
      </c>
      <c r="B52" s="9" t="s">
        <v>5708</v>
      </c>
      <c r="C52" s="9" t="s">
        <v>5561</v>
      </c>
      <c r="D52" s="9" t="s">
        <v>5709</v>
      </c>
      <c r="E52" s="9" t="s">
        <v>5710</v>
      </c>
      <c r="F52" s="9" t="s">
        <v>1137</v>
      </c>
      <c r="G52" s="14"/>
    </row>
    <row r="53" customFormat="false" ht="15" hidden="false" customHeight="true" outlineLevel="0" collapsed="false">
      <c r="A53" s="9" t="s">
        <v>244</v>
      </c>
      <c r="B53" s="9" t="s">
        <v>5711</v>
      </c>
      <c r="C53" s="9" t="s">
        <v>5577</v>
      </c>
      <c r="D53" s="9" t="s">
        <v>5712</v>
      </c>
      <c r="E53" s="9" t="s">
        <v>5713</v>
      </c>
      <c r="F53" s="9" t="s">
        <v>1133</v>
      </c>
      <c r="G53" s="14"/>
    </row>
    <row r="54" customFormat="false" ht="15" hidden="false" customHeight="true" outlineLevel="0" collapsed="false">
      <c r="A54" s="9" t="s">
        <v>260</v>
      </c>
      <c r="B54" s="9" t="s">
        <v>5714</v>
      </c>
      <c r="C54" s="9" t="s">
        <v>5557</v>
      </c>
      <c r="D54" s="9" t="s">
        <v>5715</v>
      </c>
      <c r="E54" s="9" t="s">
        <v>5716</v>
      </c>
      <c r="F54" s="9" t="s">
        <v>1136</v>
      </c>
      <c r="G54" s="14"/>
    </row>
    <row r="55" customFormat="false" ht="23.25" hidden="false" customHeight="true" outlineLevel="0" collapsed="false">
      <c r="A55" s="9" t="s">
        <v>260</v>
      </c>
      <c r="B55" s="9" t="s">
        <v>5717</v>
      </c>
      <c r="C55" s="9" t="s">
        <v>5561</v>
      </c>
      <c r="D55" s="9" t="s">
        <v>5718</v>
      </c>
      <c r="E55" s="9" t="s">
        <v>5719</v>
      </c>
      <c r="F55" s="9" t="s">
        <v>1136</v>
      </c>
      <c r="G55" s="14"/>
    </row>
    <row r="56" customFormat="false" ht="15" hidden="false" customHeight="true" outlineLevel="0" collapsed="false">
      <c r="A56" s="9" t="s">
        <v>260</v>
      </c>
      <c r="B56" s="9" t="s">
        <v>5720</v>
      </c>
      <c r="C56" s="9" t="s">
        <v>5561</v>
      </c>
      <c r="D56" s="9" t="s">
        <v>5721</v>
      </c>
      <c r="E56" s="9" t="s">
        <v>5722</v>
      </c>
      <c r="F56" s="9" t="s">
        <v>1135</v>
      </c>
      <c r="G56" s="14"/>
    </row>
    <row r="57" customFormat="false" ht="15" hidden="false" customHeight="true" outlineLevel="0" collapsed="false">
      <c r="A57" s="9" t="s">
        <v>260</v>
      </c>
      <c r="B57" s="9" t="s">
        <v>5723</v>
      </c>
      <c r="C57" s="9" t="s">
        <v>5577</v>
      </c>
      <c r="D57" s="9" t="s">
        <v>5724</v>
      </c>
      <c r="E57" s="9" t="s">
        <v>5725</v>
      </c>
      <c r="F57" s="9" t="s">
        <v>1133</v>
      </c>
      <c r="G57" s="14"/>
    </row>
    <row r="58" customFormat="false" ht="15" hidden="false" customHeight="true" outlineLevel="0" collapsed="false">
      <c r="A58" s="9" t="s">
        <v>260</v>
      </c>
      <c r="B58" s="9" t="s">
        <v>5726</v>
      </c>
      <c r="C58" s="9" t="s">
        <v>5561</v>
      </c>
      <c r="D58" s="9" t="s">
        <v>5727</v>
      </c>
      <c r="E58" s="9" t="s">
        <v>5728</v>
      </c>
      <c r="F58" s="9" t="s">
        <v>1133</v>
      </c>
      <c r="G58" s="14"/>
    </row>
    <row r="59" customFormat="false" ht="23.25" hidden="false" customHeight="true" outlineLevel="0" collapsed="false">
      <c r="A59" s="9" t="s">
        <v>277</v>
      </c>
      <c r="B59" s="9" t="s">
        <v>5729</v>
      </c>
      <c r="C59" s="9" t="s">
        <v>5561</v>
      </c>
      <c r="D59" s="9" t="s">
        <v>5730</v>
      </c>
      <c r="E59" s="9" t="s">
        <v>5731</v>
      </c>
      <c r="F59" s="9" t="s">
        <v>1137</v>
      </c>
      <c r="G59" s="14"/>
    </row>
    <row r="60" customFormat="false" ht="15" hidden="false" customHeight="true" outlineLevel="0" collapsed="false">
      <c r="A60" s="9" t="s">
        <v>277</v>
      </c>
      <c r="B60" s="9" t="s">
        <v>5732</v>
      </c>
      <c r="C60" s="9" t="s">
        <v>5561</v>
      </c>
      <c r="D60" s="9" t="s">
        <v>5733</v>
      </c>
      <c r="E60" s="9" t="s">
        <v>5734</v>
      </c>
      <c r="F60" s="9" t="s">
        <v>1135</v>
      </c>
      <c r="G60" s="14"/>
    </row>
    <row r="61" customFormat="false" ht="15" hidden="false" customHeight="true" outlineLevel="0" collapsed="false">
      <c r="A61" s="9" t="s">
        <v>277</v>
      </c>
      <c r="B61" s="9" t="s">
        <v>5735</v>
      </c>
      <c r="C61" s="9" t="s">
        <v>5557</v>
      </c>
      <c r="D61" s="9" t="s">
        <v>5688</v>
      </c>
      <c r="E61" s="9" t="s">
        <v>5736</v>
      </c>
      <c r="F61" s="9" t="s">
        <v>1133</v>
      </c>
      <c r="G61" s="14"/>
    </row>
    <row r="62" customFormat="false" ht="15" hidden="false" customHeight="true" outlineLevel="0" collapsed="false">
      <c r="A62" s="9" t="s">
        <v>277</v>
      </c>
      <c r="B62" s="9" t="s">
        <v>5737</v>
      </c>
      <c r="C62" s="9" t="s">
        <v>5561</v>
      </c>
      <c r="D62" s="9" t="s">
        <v>5738</v>
      </c>
      <c r="E62" s="9" t="s">
        <v>5739</v>
      </c>
      <c r="F62" s="9" t="s">
        <v>1135</v>
      </c>
      <c r="G62" s="14"/>
    </row>
    <row r="63" customFormat="false" ht="15" hidden="false" customHeight="true" outlineLevel="0" collapsed="false">
      <c r="A63" s="9" t="s">
        <v>277</v>
      </c>
      <c r="B63" s="9" t="s">
        <v>5740</v>
      </c>
      <c r="C63" s="9" t="s">
        <v>5577</v>
      </c>
      <c r="D63" s="9" t="s">
        <v>5741</v>
      </c>
      <c r="E63" s="9" t="s">
        <v>5742</v>
      </c>
      <c r="F63" s="9" t="s">
        <v>1136</v>
      </c>
      <c r="G63" s="14"/>
    </row>
    <row r="64" customFormat="false" ht="15" hidden="false" customHeight="true" outlineLevel="0" collapsed="false">
      <c r="A64" s="9" t="s">
        <v>294</v>
      </c>
      <c r="B64" s="9" t="s">
        <v>5743</v>
      </c>
      <c r="C64" s="9" t="s">
        <v>5557</v>
      </c>
      <c r="D64" s="9" t="s">
        <v>5744</v>
      </c>
      <c r="E64" s="9" t="s">
        <v>5745</v>
      </c>
      <c r="F64" s="9" t="s">
        <v>1138</v>
      </c>
      <c r="G64" s="14"/>
    </row>
    <row r="65" customFormat="false" ht="15" hidden="false" customHeight="true" outlineLevel="0" collapsed="false">
      <c r="A65" s="9" t="s">
        <v>294</v>
      </c>
      <c r="B65" s="9" t="s">
        <v>5746</v>
      </c>
      <c r="C65" s="9" t="s">
        <v>5561</v>
      </c>
      <c r="D65" s="9" t="s">
        <v>5747</v>
      </c>
      <c r="E65" s="9" t="s">
        <v>5748</v>
      </c>
      <c r="F65" s="9" t="s">
        <v>1133</v>
      </c>
      <c r="G65" s="14"/>
    </row>
    <row r="66" customFormat="false" ht="15" hidden="false" customHeight="true" outlineLevel="0" collapsed="false">
      <c r="A66" s="9" t="s">
        <v>294</v>
      </c>
      <c r="B66" s="9" t="s">
        <v>5749</v>
      </c>
      <c r="C66" s="9" t="s">
        <v>5561</v>
      </c>
      <c r="D66" s="9" t="s">
        <v>5750</v>
      </c>
      <c r="E66" s="9" t="s">
        <v>5751</v>
      </c>
      <c r="F66" s="9" t="s">
        <v>1136</v>
      </c>
      <c r="G66" s="14"/>
    </row>
    <row r="67" customFormat="false" ht="15" hidden="false" customHeight="true" outlineLevel="0" collapsed="false">
      <c r="A67" s="9" t="s">
        <v>294</v>
      </c>
      <c r="B67" s="9" t="s">
        <v>5752</v>
      </c>
      <c r="C67" s="9" t="s">
        <v>5561</v>
      </c>
      <c r="D67" s="9" t="s">
        <v>5753</v>
      </c>
      <c r="E67" s="9" t="s">
        <v>5754</v>
      </c>
      <c r="F67" s="9" t="s">
        <v>1134</v>
      </c>
      <c r="G67" s="14"/>
    </row>
    <row r="68" customFormat="false" ht="15" hidden="false" customHeight="true" outlineLevel="0" collapsed="false">
      <c r="A68" s="9" t="s">
        <v>312</v>
      </c>
      <c r="B68" s="9" t="s">
        <v>5755</v>
      </c>
      <c r="C68" s="9" t="s">
        <v>5557</v>
      </c>
      <c r="D68" s="9" t="s">
        <v>5756</v>
      </c>
      <c r="E68" s="9" t="s">
        <v>5757</v>
      </c>
      <c r="F68" s="9" t="s">
        <v>1135</v>
      </c>
      <c r="G68" s="14"/>
    </row>
    <row r="69" customFormat="false" ht="15" hidden="false" customHeight="true" outlineLevel="0" collapsed="false">
      <c r="A69" s="9" t="s">
        <v>312</v>
      </c>
      <c r="B69" s="9" t="s">
        <v>5758</v>
      </c>
      <c r="C69" s="9" t="s">
        <v>5561</v>
      </c>
      <c r="D69" s="9" t="s">
        <v>5759</v>
      </c>
      <c r="E69" s="9" t="s">
        <v>5760</v>
      </c>
      <c r="F69" s="9" t="s">
        <v>1137</v>
      </c>
      <c r="G69" s="14"/>
    </row>
    <row r="70" customFormat="false" ht="15" hidden="false" customHeight="true" outlineLevel="0" collapsed="false">
      <c r="A70" s="9" t="s">
        <v>312</v>
      </c>
      <c r="B70" s="9" t="s">
        <v>5761</v>
      </c>
      <c r="C70" s="9" t="s">
        <v>5577</v>
      </c>
      <c r="D70" s="9" t="s">
        <v>5762</v>
      </c>
      <c r="E70" s="9" t="s">
        <v>5763</v>
      </c>
      <c r="F70" s="9" t="s">
        <v>1137</v>
      </c>
      <c r="G70" s="14"/>
    </row>
    <row r="71" customFormat="false" ht="34.5" hidden="false" customHeight="true" outlineLevel="0" collapsed="false">
      <c r="A71" s="9" t="s">
        <v>326</v>
      </c>
      <c r="B71" s="9" t="s">
        <v>5764</v>
      </c>
      <c r="C71" s="9" t="s">
        <v>5557</v>
      </c>
      <c r="D71" s="9" t="s">
        <v>5765</v>
      </c>
      <c r="E71" s="9" t="s">
        <v>5766</v>
      </c>
      <c r="F71" s="9" t="s">
        <v>1133</v>
      </c>
      <c r="G71" s="14"/>
    </row>
    <row r="72" customFormat="false" ht="34.5" hidden="false" customHeight="true" outlineLevel="0" collapsed="false">
      <c r="A72" s="9" t="s">
        <v>326</v>
      </c>
      <c r="B72" s="9" t="s">
        <v>5767</v>
      </c>
      <c r="C72" s="9" t="s">
        <v>5561</v>
      </c>
      <c r="D72" s="9" t="s">
        <v>5768</v>
      </c>
      <c r="E72" s="9" t="s">
        <v>5769</v>
      </c>
      <c r="F72" s="9" t="s">
        <v>1133</v>
      </c>
      <c r="G72" s="14"/>
    </row>
    <row r="73" customFormat="false" ht="23.25" hidden="false" customHeight="true" outlineLevel="0" collapsed="false">
      <c r="A73" s="9" t="s">
        <v>326</v>
      </c>
      <c r="B73" s="9" t="s">
        <v>5770</v>
      </c>
      <c r="C73" s="9" t="s">
        <v>5557</v>
      </c>
      <c r="D73" s="9" t="s">
        <v>5771</v>
      </c>
      <c r="E73" s="9" t="s">
        <v>5772</v>
      </c>
      <c r="F73" s="9" t="s">
        <v>1134</v>
      </c>
      <c r="G73" s="14"/>
    </row>
    <row r="74" customFormat="false" ht="23.25" hidden="false" customHeight="true" outlineLevel="0" collapsed="false">
      <c r="A74" s="9" t="s">
        <v>326</v>
      </c>
      <c r="B74" s="9" t="s">
        <v>5773</v>
      </c>
      <c r="C74" s="9" t="s">
        <v>5557</v>
      </c>
      <c r="D74" s="9" t="s">
        <v>5774</v>
      </c>
      <c r="E74" s="9" t="s">
        <v>5775</v>
      </c>
      <c r="F74" s="9" t="s">
        <v>1135</v>
      </c>
      <c r="G74" s="14"/>
    </row>
    <row r="75" customFormat="false" ht="15" hidden="false" customHeight="true" outlineLevel="0" collapsed="false">
      <c r="A75" s="9" t="s">
        <v>326</v>
      </c>
      <c r="B75" s="9" t="s">
        <v>5776</v>
      </c>
      <c r="C75" s="9" t="s">
        <v>5561</v>
      </c>
      <c r="D75" s="9" t="s">
        <v>5777</v>
      </c>
      <c r="E75" s="9" t="s">
        <v>5778</v>
      </c>
      <c r="F75" s="9" t="s">
        <v>1137</v>
      </c>
      <c r="G75" s="14"/>
    </row>
    <row r="76" customFormat="false" ht="15" hidden="false" customHeight="true" outlineLevel="0" collapsed="false">
      <c r="A76" s="9" t="s">
        <v>342</v>
      </c>
      <c r="B76" s="9" t="s">
        <v>5779</v>
      </c>
      <c r="C76" s="9" t="s">
        <v>5557</v>
      </c>
      <c r="D76" s="9" t="s">
        <v>5780</v>
      </c>
      <c r="E76" s="9" t="s">
        <v>5781</v>
      </c>
      <c r="F76" s="9" t="s">
        <v>1137</v>
      </c>
      <c r="G76" s="14"/>
    </row>
    <row r="77" customFormat="false" ht="15" hidden="false" customHeight="true" outlineLevel="0" collapsed="false">
      <c r="A77" s="9" t="s">
        <v>342</v>
      </c>
      <c r="B77" s="9" t="s">
        <v>5782</v>
      </c>
      <c r="C77" s="9" t="s">
        <v>5557</v>
      </c>
      <c r="D77" s="9" t="s">
        <v>5783</v>
      </c>
      <c r="E77" s="9" t="s">
        <v>5784</v>
      </c>
      <c r="F77" s="9" t="s">
        <v>1134</v>
      </c>
      <c r="G77" s="14"/>
    </row>
    <row r="78" customFormat="false" ht="15" hidden="false" customHeight="true" outlineLevel="0" collapsed="false">
      <c r="A78" s="9" t="s">
        <v>342</v>
      </c>
      <c r="B78" s="9" t="s">
        <v>5785</v>
      </c>
      <c r="C78" s="9" t="s">
        <v>5561</v>
      </c>
      <c r="D78" s="9" t="s">
        <v>5786</v>
      </c>
      <c r="E78" s="9" t="s">
        <v>5787</v>
      </c>
      <c r="F78" s="9" t="s">
        <v>1136</v>
      </c>
      <c r="G78" s="14"/>
    </row>
  </sheetData>
  <autoFilter ref="A1:G78"/>
  <dataValidations count="1">
    <dataValidation allowBlank="true" errorStyle="stop" operator="between" showDropDown="false" showErrorMessage="false" showInputMessage="false" sqref="C2:C1000" type="list">
      <formula1>"Low,Medium,High"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70"/>
    <col collapsed="false" customWidth="true" hidden="false" outlineLevel="0" max="3" min="3" style="1" width="50"/>
    <col collapsed="false" customWidth="true" hidden="false" outlineLevel="0" max="4" min="4" style="1" width="11"/>
    <col collapsed="false" customWidth="true" hidden="false" outlineLevel="0" max="5" min="5" style="1" width="30"/>
  </cols>
  <sheetData>
    <row r="1" customFormat="false" ht="31.5" hidden="false" customHeight="true" outlineLevel="0" collapsed="false">
      <c r="A1" s="7" t="s">
        <v>41</v>
      </c>
      <c r="B1" s="7" t="s">
        <v>5788</v>
      </c>
      <c r="C1" s="7" t="s">
        <v>5789</v>
      </c>
      <c r="D1" s="7" t="s">
        <v>5790</v>
      </c>
      <c r="E1" s="7" t="s">
        <v>66</v>
      </c>
    </row>
    <row r="2" customFormat="false" ht="15" hidden="false" customHeight="true" outlineLevel="0" collapsed="false">
      <c r="A2" s="9" t="s">
        <v>67</v>
      </c>
      <c r="B2" s="9" t="s">
        <v>5791</v>
      </c>
      <c r="C2" s="9" t="s">
        <v>5792</v>
      </c>
      <c r="D2" s="9" t="s">
        <v>5557</v>
      </c>
      <c r="E2" s="14"/>
    </row>
    <row r="3" customFormat="false" ht="15" hidden="false" customHeight="true" outlineLevel="0" collapsed="false">
      <c r="A3" s="9" t="s">
        <v>67</v>
      </c>
      <c r="B3" s="9" t="s">
        <v>5793</v>
      </c>
      <c r="C3" s="9" t="s">
        <v>5794</v>
      </c>
      <c r="D3" s="9" t="s">
        <v>5557</v>
      </c>
      <c r="E3" s="14"/>
    </row>
    <row r="4" customFormat="false" ht="15" hidden="false" customHeight="true" outlineLevel="0" collapsed="false">
      <c r="A4" s="9" t="s">
        <v>67</v>
      </c>
      <c r="B4" s="9" t="s">
        <v>5795</v>
      </c>
      <c r="C4" s="9" t="s">
        <v>5794</v>
      </c>
      <c r="D4" s="9" t="s">
        <v>5557</v>
      </c>
      <c r="E4" s="14"/>
    </row>
    <row r="5" customFormat="false" ht="15" hidden="false" customHeight="true" outlineLevel="0" collapsed="false">
      <c r="A5" s="9" t="s">
        <v>67</v>
      </c>
      <c r="B5" s="9" t="s">
        <v>5796</v>
      </c>
      <c r="C5" s="9" t="s">
        <v>5797</v>
      </c>
      <c r="D5" s="9" t="s">
        <v>5561</v>
      </c>
      <c r="E5" s="14"/>
    </row>
    <row r="6" customFormat="false" ht="15" hidden="false" customHeight="true" outlineLevel="0" collapsed="false">
      <c r="A6" s="9" t="s">
        <v>87</v>
      </c>
      <c r="B6" s="9" t="s">
        <v>5798</v>
      </c>
      <c r="C6" s="9" t="s">
        <v>5799</v>
      </c>
      <c r="D6" s="9" t="s">
        <v>5557</v>
      </c>
      <c r="E6" s="14"/>
    </row>
    <row r="7" customFormat="false" ht="15" hidden="false" customHeight="true" outlineLevel="0" collapsed="false">
      <c r="A7" s="9" t="s">
        <v>87</v>
      </c>
      <c r="B7" s="9" t="s">
        <v>5800</v>
      </c>
      <c r="C7" s="9" t="s">
        <v>5801</v>
      </c>
      <c r="D7" s="9" t="s">
        <v>5557</v>
      </c>
      <c r="E7" s="14"/>
    </row>
    <row r="8" customFormat="false" ht="23.25" hidden="false" customHeight="true" outlineLevel="0" collapsed="false">
      <c r="A8" s="9" t="s">
        <v>87</v>
      </c>
      <c r="B8" s="9" t="s">
        <v>5802</v>
      </c>
      <c r="C8" s="9" t="s">
        <v>5803</v>
      </c>
      <c r="D8" s="9" t="s">
        <v>5561</v>
      </c>
      <c r="E8" s="14"/>
    </row>
    <row r="9" customFormat="false" ht="23.25" hidden="false" customHeight="true" outlineLevel="0" collapsed="false">
      <c r="A9" s="9" t="s">
        <v>87</v>
      </c>
      <c r="B9" s="9" t="s">
        <v>5804</v>
      </c>
      <c r="C9" s="9" t="s">
        <v>5805</v>
      </c>
      <c r="D9" s="9" t="s">
        <v>5557</v>
      </c>
      <c r="E9" s="14"/>
    </row>
    <row r="10" customFormat="false" ht="15" hidden="false" customHeight="true" outlineLevel="0" collapsed="false">
      <c r="A10" s="9" t="s">
        <v>104</v>
      </c>
      <c r="B10" s="9" t="s">
        <v>5806</v>
      </c>
      <c r="C10" s="9" t="s">
        <v>5807</v>
      </c>
      <c r="D10" s="9" t="s">
        <v>5557</v>
      </c>
      <c r="E10" s="14"/>
    </row>
    <row r="11" customFormat="false" ht="23.25" hidden="false" customHeight="true" outlineLevel="0" collapsed="false">
      <c r="A11" s="9" t="s">
        <v>104</v>
      </c>
      <c r="B11" s="9" t="s">
        <v>5808</v>
      </c>
      <c r="C11" s="9" t="s">
        <v>5809</v>
      </c>
      <c r="D11" s="9" t="s">
        <v>5557</v>
      </c>
      <c r="E11" s="14"/>
    </row>
    <row r="12" customFormat="false" ht="23.25" hidden="false" customHeight="true" outlineLevel="0" collapsed="false">
      <c r="A12" s="9" t="s">
        <v>104</v>
      </c>
      <c r="B12" s="9" t="s">
        <v>5810</v>
      </c>
      <c r="C12" s="9" t="s">
        <v>5811</v>
      </c>
      <c r="D12" s="9" t="s">
        <v>5561</v>
      </c>
      <c r="E12" s="14"/>
    </row>
    <row r="13" customFormat="false" ht="15" hidden="false" customHeight="true" outlineLevel="0" collapsed="false">
      <c r="A13" s="9" t="s">
        <v>104</v>
      </c>
      <c r="B13" s="9" t="s">
        <v>5812</v>
      </c>
      <c r="C13" s="9" t="s">
        <v>5813</v>
      </c>
      <c r="D13" s="9" t="s">
        <v>5557</v>
      </c>
      <c r="E13" s="14"/>
    </row>
    <row r="14" customFormat="false" ht="23.25" hidden="false" customHeight="true" outlineLevel="0" collapsed="false">
      <c r="A14" s="9" t="s">
        <v>104</v>
      </c>
      <c r="B14" s="9" t="s">
        <v>5814</v>
      </c>
      <c r="C14" s="9" t="s">
        <v>5815</v>
      </c>
      <c r="D14" s="9" t="s">
        <v>5561</v>
      </c>
      <c r="E14" s="14"/>
    </row>
    <row r="15" customFormat="false" ht="23.25" hidden="false" customHeight="true" outlineLevel="0" collapsed="false">
      <c r="A15" s="9" t="s">
        <v>104</v>
      </c>
      <c r="B15" s="9" t="s">
        <v>5816</v>
      </c>
      <c r="C15" s="9" t="s">
        <v>5817</v>
      </c>
      <c r="D15" s="9" t="s">
        <v>5561</v>
      </c>
      <c r="E15" s="14"/>
    </row>
    <row r="16" customFormat="false" ht="23.25" hidden="false" customHeight="true" outlineLevel="0" collapsed="false">
      <c r="A16" s="9" t="s">
        <v>104</v>
      </c>
      <c r="B16" s="9" t="s">
        <v>5818</v>
      </c>
      <c r="C16" s="9" t="s">
        <v>5819</v>
      </c>
      <c r="D16" s="9" t="s">
        <v>5557</v>
      </c>
      <c r="E16" s="14"/>
    </row>
    <row r="17" customFormat="false" ht="23.25" hidden="false" customHeight="true" outlineLevel="0" collapsed="false">
      <c r="A17" s="9" t="s">
        <v>104</v>
      </c>
      <c r="B17" s="9" t="s">
        <v>5820</v>
      </c>
      <c r="C17" s="9" t="s">
        <v>5821</v>
      </c>
      <c r="D17" s="9" t="s">
        <v>5557</v>
      </c>
      <c r="E17" s="14"/>
    </row>
    <row r="18" customFormat="false" ht="23.25" hidden="false" customHeight="true" outlineLevel="0" collapsed="false">
      <c r="A18" s="9" t="s">
        <v>124</v>
      </c>
      <c r="B18" s="9" t="s">
        <v>5822</v>
      </c>
      <c r="C18" s="9" t="s">
        <v>5823</v>
      </c>
      <c r="D18" s="9" t="s">
        <v>5557</v>
      </c>
      <c r="E18" s="14"/>
    </row>
    <row r="19" customFormat="false" ht="23.25" hidden="false" customHeight="true" outlineLevel="0" collapsed="false">
      <c r="A19" s="9" t="s">
        <v>124</v>
      </c>
      <c r="B19" s="9" t="s">
        <v>5824</v>
      </c>
      <c r="C19" s="9" t="s">
        <v>5825</v>
      </c>
      <c r="D19" s="9" t="s">
        <v>5557</v>
      </c>
      <c r="E19" s="14"/>
    </row>
    <row r="20" customFormat="false" ht="23.25" hidden="false" customHeight="true" outlineLevel="0" collapsed="false">
      <c r="A20" s="9" t="s">
        <v>124</v>
      </c>
      <c r="B20" s="9" t="s">
        <v>5826</v>
      </c>
      <c r="C20" s="9" t="s">
        <v>5827</v>
      </c>
      <c r="D20" s="9" t="s">
        <v>5557</v>
      </c>
      <c r="E20" s="14"/>
    </row>
    <row r="21" customFormat="false" ht="23.25" hidden="false" customHeight="true" outlineLevel="0" collapsed="false">
      <c r="A21" s="9" t="s">
        <v>124</v>
      </c>
      <c r="B21" s="9" t="s">
        <v>5828</v>
      </c>
      <c r="C21" s="9" t="s">
        <v>5829</v>
      </c>
      <c r="D21" s="9" t="s">
        <v>5557</v>
      </c>
      <c r="E21" s="14"/>
    </row>
    <row r="22" customFormat="false" ht="23.25" hidden="false" customHeight="true" outlineLevel="0" collapsed="false">
      <c r="A22" s="9" t="s">
        <v>124</v>
      </c>
      <c r="B22" s="9" t="s">
        <v>5830</v>
      </c>
      <c r="C22" s="9" t="s">
        <v>5831</v>
      </c>
      <c r="D22" s="9" t="s">
        <v>5557</v>
      </c>
      <c r="E22" s="14"/>
    </row>
    <row r="23" customFormat="false" ht="23.25" hidden="false" customHeight="true" outlineLevel="0" collapsed="false">
      <c r="A23" s="9" t="s">
        <v>124</v>
      </c>
      <c r="B23" s="9" t="s">
        <v>5832</v>
      </c>
      <c r="C23" s="9" t="s">
        <v>5833</v>
      </c>
      <c r="D23" s="9" t="s">
        <v>5561</v>
      </c>
      <c r="E23" s="14"/>
    </row>
    <row r="24" customFormat="false" ht="23.25" hidden="false" customHeight="true" outlineLevel="0" collapsed="false">
      <c r="A24" s="9" t="s">
        <v>139</v>
      </c>
      <c r="B24" s="9" t="s">
        <v>5834</v>
      </c>
      <c r="C24" s="9" t="s">
        <v>5835</v>
      </c>
      <c r="D24" s="9" t="s">
        <v>5557</v>
      </c>
      <c r="E24" s="14"/>
    </row>
    <row r="25" customFormat="false" ht="15" hidden="false" customHeight="true" outlineLevel="0" collapsed="false">
      <c r="A25" s="9" t="s">
        <v>139</v>
      </c>
      <c r="B25" s="9" t="s">
        <v>5836</v>
      </c>
      <c r="C25" s="9" t="s">
        <v>5837</v>
      </c>
      <c r="D25" s="9" t="s">
        <v>5557</v>
      </c>
      <c r="E25" s="14"/>
    </row>
    <row r="26" customFormat="false" ht="15" hidden="false" customHeight="true" outlineLevel="0" collapsed="false">
      <c r="A26" s="9" t="s">
        <v>139</v>
      </c>
      <c r="B26" s="9" t="s">
        <v>5838</v>
      </c>
      <c r="C26" s="9" t="s">
        <v>5839</v>
      </c>
      <c r="D26" s="9" t="s">
        <v>5557</v>
      </c>
      <c r="E26" s="14"/>
    </row>
    <row r="27" customFormat="false" ht="23.25" hidden="false" customHeight="true" outlineLevel="0" collapsed="false">
      <c r="A27" s="9" t="s">
        <v>139</v>
      </c>
      <c r="B27" s="9" t="s">
        <v>5840</v>
      </c>
      <c r="C27" s="9" t="s">
        <v>5841</v>
      </c>
      <c r="D27" s="9" t="s">
        <v>5561</v>
      </c>
      <c r="E27" s="14"/>
    </row>
    <row r="28" customFormat="false" ht="23.25" hidden="false" customHeight="true" outlineLevel="0" collapsed="false">
      <c r="A28" s="9" t="s">
        <v>139</v>
      </c>
      <c r="B28" s="9" t="s">
        <v>5842</v>
      </c>
      <c r="C28" s="9" t="s">
        <v>5843</v>
      </c>
      <c r="D28" s="9" t="s">
        <v>5557</v>
      </c>
      <c r="E28" s="14"/>
    </row>
    <row r="29" customFormat="false" ht="15" hidden="false" customHeight="true" outlineLevel="0" collapsed="false">
      <c r="A29" s="9" t="s">
        <v>139</v>
      </c>
      <c r="B29" s="9" t="s">
        <v>5844</v>
      </c>
      <c r="C29" s="9" t="s">
        <v>5845</v>
      </c>
      <c r="D29" s="9" t="s">
        <v>5557</v>
      </c>
      <c r="E29" s="14"/>
    </row>
    <row r="30" customFormat="false" ht="15" hidden="false" customHeight="true" outlineLevel="0" collapsed="false">
      <c r="A30" s="9" t="s">
        <v>157</v>
      </c>
      <c r="B30" s="9" t="s">
        <v>5846</v>
      </c>
      <c r="C30" s="9" t="s">
        <v>5847</v>
      </c>
      <c r="D30" s="9" t="s">
        <v>5557</v>
      </c>
      <c r="E30" s="14"/>
    </row>
    <row r="31" customFormat="false" ht="15" hidden="false" customHeight="true" outlineLevel="0" collapsed="false">
      <c r="A31" s="9" t="s">
        <v>157</v>
      </c>
      <c r="B31" s="9" t="s">
        <v>5848</v>
      </c>
      <c r="C31" s="9" t="s">
        <v>5849</v>
      </c>
      <c r="D31" s="9" t="s">
        <v>5557</v>
      </c>
      <c r="E31" s="14"/>
    </row>
    <row r="32" customFormat="false" ht="23.25" hidden="false" customHeight="true" outlineLevel="0" collapsed="false">
      <c r="A32" s="9" t="s">
        <v>157</v>
      </c>
      <c r="B32" s="9" t="s">
        <v>5850</v>
      </c>
      <c r="C32" s="9" t="s">
        <v>5851</v>
      </c>
      <c r="D32" s="9" t="s">
        <v>5557</v>
      </c>
      <c r="E32" s="14"/>
    </row>
    <row r="33" customFormat="false" ht="23.25" hidden="false" customHeight="true" outlineLevel="0" collapsed="false">
      <c r="A33" s="9" t="s">
        <v>157</v>
      </c>
      <c r="B33" s="9" t="s">
        <v>5852</v>
      </c>
      <c r="C33" s="9" t="s">
        <v>5853</v>
      </c>
      <c r="D33" s="9" t="s">
        <v>5557</v>
      </c>
      <c r="E33" s="14"/>
    </row>
    <row r="34" customFormat="false" ht="15" hidden="false" customHeight="true" outlineLevel="0" collapsed="false">
      <c r="A34" s="9" t="s">
        <v>157</v>
      </c>
      <c r="B34" s="9" t="s">
        <v>5854</v>
      </c>
      <c r="C34" s="9" t="s">
        <v>5855</v>
      </c>
      <c r="D34" s="9" t="s">
        <v>5557</v>
      </c>
      <c r="E34" s="14"/>
    </row>
    <row r="35" customFormat="false" ht="23.25" hidden="false" customHeight="true" outlineLevel="0" collapsed="false">
      <c r="A35" s="9" t="s">
        <v>157</v>
      </c>
      <c r="B35" s="9" t="s">
        <v>5856</v>
      </c>
      <c r="C35" s="9" t="s">
        <v>5857</v>
      </c>
      <c r="D35" s="9" t="s">
        <v>5557</v>
      </c>
      <c r="E35" s="14"/>
    </row>
    <row r="36" customFormat="false" ht="23.25" hidden="false" customHeight="true" outlineLevel="0" collapsed="false">
      <c r="A36" s="9" t="s">
        <v>174</v>
      </c>
      <c r="B36" s="9" t="s">
        <v>5858</v>
      </c>
      <c r="C36" s="9" t="s">
        <v>5859</v>
      </c>
      <c r="D36" s="9" t="s">
        <v>5557</v>
      </c>
      <c r="E36" s="14"/>
    </row>
    <row r="37" customFormat="false" ht="23.25" hidden="false" customHeight="true" outlineLevel="0" collapsed="false">
      <c r="A37" s="9" t="s">
        <v>174</v>
      </c>
      <c r="B37" s="9" t="s">
        <v>5860</v>
      </c>
      <c r="C37" s="9" t="s">
        <v>5861</v>
      </c>
      <c r="D37" s="9" t="s">
        <v>5557</v>
      </c>
      <c r="E37" s="14"/>
    </row>
    <row r="38" customFormat="false" ht="23.25" hidden="false" customHeight="true" outlineLevel="0" collapsed="false">
      <c r="A38" s="9" t="s">
        <v>174</v>
      </c>
      <c r="B38" s="9" t="s">
        <v>5862</v>
      </c>
      <c r="C38" s="9" t="s">
        <v>5863</v>
      </c>
      <c r="D38" s="9" t="s">
        <v>5561</v>
      </c>
      <c r="E38" s="14"/>
    </row>
    <row r="39" customFormat="false" ht="23.25" hidden="false" customHeight="true" outlineLevel="0" collapsed="false">
      <c r="A39" s="9" t="s">
        <v>174</v>
      </c>
      <c r="B39" s="9" t="s">
        <v>5864</v>
      </c>
      <c r="C39" s="9" t="s">
        <v>5865</v>
      </c>
      <c r="D39" s="9" t="s">
        <v>5561</v>
      </c>
      <c r="E39" s="14"/>
    </row>
    <row r="40" customFormat="false" ht="23.25" hidden="false" customHeight="true" outlineLevel="0" collapsed="false">
      <c r="A40" s="9" t="s">
        <v>193</v>
      </c>
      <c r="B40" s="9" t="s">
        <v>5866</v>
      </c>
      <c r="C40" s="9" t="s">
        <v>5867</v>
      </c>
      <c r="D40" s="9" t="s">
        <v>5557</v>
      </c>
      <c r="E40" s="14"/>
    </row>
    <row r="41" customFormat="false" ht="23.25" hidden="false" customHeight="true" outlineLevel="0" collapsed="false">
      <c r="A41" s="9" t="s">
        <v>193</v>
      </c>
      <c r="B41" s="9" t="s">
        <v>5868</v>
      </c>
      <c r="C41" s="9" t="s">
        <v>5869</v>
      </c>
      <c r="D41" s="9" t="s">
        <v>5557</v>
      </c>
      <c r="E41" s="14"/>
    </row>
    <row r="42" customFormat="false" ht="23.25" hidden="false" customHeight="true" outlineLevel="0" collapsed="false">
      <c r="A42" s="9" t="s">
        <v>193</v>
      </c>
      <c r="B42" s="9" t="s">
        <v>5870</v>
      </c>
      <c r="C42" s="9" t="s">
        <v>5871</v>
      </c>
      <c r="D42" s="9" t="s">
        <v>5557</v>
      </c>
      <c r="E42" s="14"/>
    </row>
    <row r="43" customFormat="false" ht="23.25" hidden="false" customHeight="true" outlineLevel="0" collapsed="false">
      <c r="A43" s="9" t="s">
        <v>193</v>
      </c>
      <c r="B43" s="9" t="s">
        <v>5872</v>
      </c>
      <c r="C43" s="9" t="s">
        <v>5873</v>
      </c>
      <c r="D43" s="9" t="s">
        <v>5561</v>
      </c>
      <c r="E43" s="14"/>
    </row>
    <row r="44" customFormat="false" ht="15" hidden="false" customHeight="true" outlineLevel="0" collapsed="false">
      <c r="A44" s="9" t="s">
        <v>193</v>
      </c>
      <c r="B44" s="9" t="s">
        <v>5874</v>
      </c>
      <c r="C44" s="9" t="s">
        <v>5875</v>
      </c>
      <c r="D44" s="9" t="s">
        <v>5557</v>
      </c>
      <c r="E44" s="14"/>
    </row>
    <row r="45" customFormat="false" ht="23.25" hidden="false" customHeight="true" outlineLevel="0" collapsed="false">
      <c r="A45" s="9" t="s">
        <v>210</v>
      </c>
      <c r="B45" s="9" t="s">
        <v>5876</v>
      </c>
      <c r="C45" s="9" t="s">
        <v>5877</v>
      </c>
      <c r="D45" s="9" t="s">
        <v>5557</v>
      </c>
      <c r="E45" s="14"/>
    </row>
    <row r="46" customFormat="false" ht="15" hidden="false" customHeight="true" outlineLevel="0" collapsed="false">
      <c r="A46" s="9" t="s">
        <v>210</v>
      </c>
      <c r="B46" s="9" t="s">
        <v>5878</v>
      </c>
      <c r="C46" s="9" t="s">
        <v>5879</v>
      </c>
      <c r="D46" s="9" t="s">
        <v>5557</v>
      </c>
      <c r="E46" s="14"/>
    </row>
    <row r="47" customFormat="false" ht="23.25" hidden="false" customHeight="true" outlineLevel="0" collapsed="false">
      <c r="A47" s="9" t="s">
        <v>210</v>
      </c>
      <c r="B47" s="9" t="s">
        <v>5880</v>
      </c>
      <c r="C47" s="9" t="s">
        <v>5881</v>
      </c>
      <c r="D47" s="9" t="s">
        <v>5557</v>
      </c>
      <c r="E47" s="14"/>
    </row>
    <row r="48" customFormat="false" ht="15" hidden="false" customHeight="true" outlineLevel="0" collapsed="false">
      <c r="A48" s="9" t="s">
        <v>210</v>
      </c>
      <c r="B48" s="9" t="s">
        <v>5882</v>
      </c>
      <c r="C48" s="9" t="s">
        <v>5883</v>
      </c>
      <c r="D48" s="9" t="s">
        <v>5557</v>
      </c>
      <c r="E48" s="14"/>
    </row>
    <row r="49" customFormat="false" ht="23.25" hidden="false" customHeight="true" outlineLevel="0" collapsed="false">
      <c r="A49" s="9" t="s">
        <v>210</v>
      </c>
      <c r="B49" s="9" t="s">
        <v>5884</v>
      </c>
      <c r="C49" s="9" t="s">
        <v>5885</v>
      </c>
      <c r="D49" s="9" t="s">
        <v>5561</v>
      </c>
      <c r="E49" s="14"/>
    </row>
    <row r="50" customFormat="false" ht="23.25" hidden="false" customHeight="true" outlineLevel="0" collapsed="false">
      <c r="A50" s="9" t="s">
        <v>210</v>
      </c>
      <c r="B50" s="9" t="s">
        <v>5886</v>
      </c>
      <c r="C50" s="9" t="s">
        <v>5887</v>
      </c>
      <c r="D50" s="9" t="s">
        <v>5561</v>
      </c>
      <c r="E50" s="14"/>
    </row>
    <row r="51" customFormat="false" ht="23.25" hidden="false" customHeight="true" outlineLevel="0" collapsed="false">
      <c r="A51" s="9" t="s">
        <v>227</v>
      </c>
      <c r="B51" s="9" t="s">
        <v>5888</v>
      </c>
      <c r="C51" s="9" t="s">
        <v>5889</v>
      </c>
      <c r="D51" s="9" t="s">
        <v>5557</v>
      </c>
      <c r="E51" s="14"/>
    </row>
    <row r="52" customFormat="false" ht="23.25" hidden="false" customHeight="true" outlineLevel="0" collapsed="false">
      <c r="A52" s="9" t="s">
        <v>227</v>
      </c>
      <c r="B52" s="9" t="s">
        <v>5890</v>
      </c>
      <c r="C52" s="9" t="s">
        <v>5891</v>
      </c>
      <c r="D52" s="9" t="s">
        <v>5557</v>
      </c>
      <c r="E52" s="14"/>
    </row>
    <row r="53" customFormat="false" ht="23.25" hidden="false" customHeight="true" outlineLevel="0" collapsed="false">
      <c r="A53" s="9" t="s">
        <v>227</v>
      </c>
      <c r="B53" s="9" t="s">
        <v>5892</v>
      </c>
      <c r="C53" s="9" t="s">
        <v>5893</v>
      </c>
      <c r="D53" s="9" t="s">
        <v>5561</v>
      </c>
      <c r="E53" s="14"/>
    </row>
    <row r="54" customFormat="false" ht="15" hidden="false" customHeight="true" outlineLevel="0" collapsed="false">
      <c r="A54" s="9" t="s">
        <v>227</v>
      </c>
      <c r="B54" s="9" t="s">
        <v>5894</v>
      </c>
      <c r="C54" s="9" t="s">
        <v>5895</v>
      </c>
      <c r="D54" s="9" t="s">
        <v>5561</v>
      </c>
      <c r="E54" s="14"/>
    </row>
    <row r="55" customFormat="false" ht="23.25" hidden="false" customHeight="true" outlineLevel="0" collapsed="false">
      <c r="A55" s="9" t="s">
        <v>227</v>
      </c>
      <c r="B55" s="9" t="s">
        <v>5896</v>
      </c>
      <c r="C55" s="9" t="s">
        <v>5897</v>
      </c>
      <c r="D55" s="9" t="s">
        <v>5557</v>
      </c>
      <c r="E55" s="14"/>
    </row>
    <row r="56" customFormat="false" ht="15" hidden="false" customHeight="true" outlineLevel="0" collapsed="false">
      <c r="A56" s="9" t="s">
        <v>227</v>
      </c>
      <c r="B56" s="9" t="s">
        <v>5898</v>
      </c>
      <c r="C56" s="9" t="s">
        <v>5899</v>
      </c>
      <c r="D56" s="9" t="s">
        <v>5561</v>
      </c>
      <c r="E56" s="14"/>
    </row>
    <row r="57" customFormat="false" ht="15" hidden="false" customHeight="true" outlineLevel="0" collapsed="false">
      <c r="A57" s="9" t="s">
        <v>244</v>
      </c>
      <c r="B57" s="9" t="s">
        <v>5900</v>
      </c>
      <c r="C57" s="9" t="s">
        <v>5901</v>
      </c>
      <c r="D57" s="9" t="s">
        <v>5557</v>
      </c>
      <c r="E57" s="14"/>
    </row>
    <row r="58" customFormat="false" ht="23.25" hidden="false" customHeight="true" outlineLevel="0" collapsed="false">
      <c r="A58" s="9" t="s">
        <v>244</v>
      </c>
      <c r="B58" s="9" t="s">
        <v>5902</v>
      </c>
      <c r="C58" s="9" t="s">
        <v>5903</v>
      </c>
      <c r="D58" s="9" t="s">
        <v>5557</v>
      </c>
      <c r="E58" s="14"/>
    </row>
    <row r="59" customFormat="false" ht="23.25" hidden="false" customHeight="true" outlineLevel="0" collapsed="false">
      <c r="A59" s="9" t="s">
        <v>244</v>
      </c>
      <c r="B59" s="9" t="s">
        <v>5904</v>
      </c>
      <c r="C59" s="9" t="s">
        <v>5905</v>
      </c>
      <c r="D59" s="9" t="s">
        <v>5557</v>
      </c>
      <c r="E59" s="14"/>
    </row>
    <row r="60" customFormat="false" ht="15" hidden="false" customHeight="true" outlineLevel="0" collapsed="false">
      <c r="A60" s="9" t="s">
        <v>244</v>
      </c>
      <c r="B60" s="9" t="s">
        <v>5906</v>
      </c>
      <c r="C60" s="9" t="s">
        <v>5907</v>
      </c>
      <c r="D60" s="9" t="s">
        <v>5557</v>
      </c>
      <c r="E60" s="14"/>
    </row>
    <row r="61" customFormat="false" ht="15" hidden="false" customHeight="true" outlineLevel="0" collapsed="false">
      <c r="A61" s="9" t="s">
        <v>244</v>
      </c>
      <c r="B61" s="9" t="s">
        <v>5908</v>
      </c>
      <c r="C61" s="9" t="s">
        <v>5909</v>
      </c>
      <c r="D61" s="9" t="s">
        <v>5557</v>
      </c>
      <c r="E61" s="14"/>
    </row>
    <row r="62" customFormat="false" ht="23.25" hidden="false" customHeight="true" outlineLevel="0" collapsed="false">
      <c r="A62" s="9" t="s">
        <v>244</v>
      </c>
      <c r="B62" s="9" t="s">
        <v>5910</v>
      </c>
      <c r="C62" s="9" t="s">
        <v>5911</v>
      </c>
      <c r="D62" s="9" t="s">
        <v>5561</v>
      </c>
      <c r="E62" s="14"/>
    </row>
    <row r="63" customFormat="false" ht="15" hidden="false" customHeight="true" outlineLevel="0" collapsed="false">
      <c r="A63" s="9" t="s">
        <v>244</v>
      </c>
      <c r="B63" s="9" t="s">
        <v>5912</v>
      </c>
      <c r="C63" s="9" t="s">
        <v>5913</v>
      </c>
      <c r="D63" s="9" t="s">
        <v>5561</v>
      </c>
      <c r="E63" s="14"/>
    </row>
    <row r="64" customFormat="false" ht="23.25" hidden="false" customHeight="true" outlineLevel="0" collapsed="false">
      <c r="A64" s="9" t="s">
        <v>260</v>
      </c>
      <c r="B64" s="9" t="s">
        <v>5914</v>
      </c>
      <c r="C64" s="9" t="s">
        <v>5915</v>
      </c>
      <c r="D64" s="9" t="s">
        <v>5557</v>
      </c>
      <c r="E64" s="14"/>
    </row>
    <row r="65" customFormat="false" ht="15" hidden="false" customHeight="true" outlineLevel="0" collapsed="false">
      <c r="A65" s="9" t="s">
        <v>260</v>
      </c>
      <c r="B65" s="9" t="s">
        <v>5916</v>
      </c>
      <c r="C65" s="9" t="s">
        <v>5917</v>
      </c>
      <c r="D65" s="9" t="s">
        <v>5561</v>
      </c>
      <c r="E65" s="14"/>
    </row>
    <row r="66" customFormat="false" ht="15" hidden="false" customHeight="true" outlineLevel="0" collapsed="false">
      <c r="A66" s="9" t="s">
        <v>260</v>
      </c>
      <c r="B66" s="9" t="s">
        <v>5918</v>
      </c>
      <c r="C66" s="9" t="s">
        <v>5919</v>
      </c>
      <c r="D66" s="9" t="s">
        <v>5561</v>
      </c>
      <c r="E66" s="14"/>
    </row>
    <row r="67" customFormat="false" ht="23.25" hidden="false" customHeight="true" outlineLevel="0" collapsed="false">
      <c r="A67" s="9" t="s">
        <v>260</v>
      </c>
      <c r="B67" s="9" t="s">
        <v>5920</v>
      </c>
      <c r="C67" s="9" t="s">
        <v>5921</v>
      </c>
      <c r="D67" s="9" t="s">
        <v>5557</v>
      </c>
      <c r="E67" s="14"/>
    </row>
    <row r="68" customFormat="false" ht="23.25" hidden="false" customHeight="true" outlineLevel="0" collapsed="false">
      <c r="A68" s="9" t="s">
        <v>260</v>
      </c>
      <c r="B68" s="9" t="s">
        <v>5922</v>
      </c>
      <c r="C68" s="9" t="s">
        <v>5923</v>
      </c>
      <c r="D68" s="9" t="s">
        <v>5561</v>
      </c>
      <c r="E68" s="14"/>
    </row>
    <row r="69" customFormat="false" ht="15" hidden="false" customHeight="true" outlineLevel="0" collapsed="false">
      <c r="A69" s="9" t="s">
        <v>260</v>
      </c>
      <c r="B69" s="9" t="s">
        <v>5924</v>
      </c>
      <c r="C69" s="9" t="s">
        <v>5925</v>
      </c>
      <c r="D69" s="9" t="s">
        <v>5561</v>
      </c>
      <c r="E69" s="14"/>
    </row>
    <row r="70" customFormat="false" ht="23.25" hidden="false" customHeight="true" outlineLevel="0" collapsed="false">
      <c r="A70" s="9" t="s">
        <v>277</v>
      </c>
      <c r="B70" s="9" t="s">
        <v>5926</v>
      </c>
      <c r="C70" s="9" t="s">
        <v>5927</v>
      </c>
      <c r="D70" s="9" t="s">
        <v>5557</v>
      </c>
      <c r="E70" s="14"/>
    </row>
    <row r="71" customFormat="false" ht="23.25" hidden="false" customHeight="true" outlineLevel="0" collapsed="false">
      <c r="A71" s="9" t="s">
        <v>277</v>
      </c>
      <c r="B71" s="9" t="s">
        <v>5928</v>
      </c>
      <c r="C71" s="9" t="s">
        <v>5929</v>
      </c>
      <c r="D71" s="9" t="s">
        <v>5557</v>
      </c>
      <c r="E71" s="14"/>
    </row>
    <row r="72" customFormat="false" ht="15" hidden="false" customHeight="true" outlineLevel="0" collapsed="false">
      <c r="A72" s="9" t="s">
        <v>277</v>
      </c>
      <c r="B72" s="9" t="s">
        <v>5930</v>
      </c>
      <c r="C72" s="9" t="s">
        <v>5931</v>
      </c>
      <c r="D72" s="9" t="s">
        <v>5557</v>
      </c>
      <c r="E72" s="14"/>
    </row>
    <row r="73" customFormat="false" ht="23.25" hidden="false" customHeight="true" outlineLevel="0" collapsed="false">
      <c r="A73" s="9" t="s">
        <v>277</v>
      </c>
      <c r="B73" s="9" t="s">
        <v>5932</v>
      </c>
      <c r="C73" s="9" t="s">
        <v>5933</v>
      </c>
      <c r="D73" s="9" t="s">
        <v>5557</v>
      </c>
      <c r="E73" s="14"/>
    </row>
    <row r="74" customFormat="false" ht="23.25" hidden="false" customHeight="true" outlineLevel="0" collapsed="false">
      <c r="A74" s="9" t="s">
        <v>277</v>
      </c>
      <c r="B74" s="9" t="s">
        <v>5934</v>
      </c>
      <c r="C74" s="9" t="s">
        <v>5935</v>
      </c>
      <c r="D74" s="9" t="s">
        <v>5561</v>
      </c>
      <c r="E74" s="14"/>
    </row>
    <row r="75" customFormat="false" ht="23.25" hidden="false" customHeight="true" outlineLevel="0" collapsed="false">
      <c r="A75" s="9" t="s">
        <v>277</v>
      </c>
      <c r="B75" s="9" t="s">
        <v>5936</v>
      </c>
      <c r="C75" s="9" t="s">
        <v>5937</v>
      </c>
      <c r="D75" s="9" t="s">
        <v>5561</v>
      </c>
      <c r="E75" s="14"/>
    </row>
    <row r="76" customFormat="false" ht="15" hidden="false" customHeight="true" outlineLevel="0" collapsed="false">
      <c r="A76" s="9" t="s">
        <v>277</v>
      </c>
      <c r="B76" s="9" t="s">
        <v>5938</v>
      </c>
      <c r="C76" s="9" t="s">
        <v>5939</v>
      </c>
      <c r="D76" s="9" t="s">
        <v>5561</v>
      </c>
      <c r="E76" s="14"/>
    </row>
    <row r="77" customFormat="false" ht="23.25" hidden="false" customHeight="true" outlineLevel="0" collapsed="false">
      <c r="A77" s="9" t="s">
        <v>294</v>
      </c>
      <c r="B77" s="9" t="s">
        <v>5940</v>
      </c>
      <c r="C77" s="9" t="s">
        <v>5941</v>
      </c>
      <c r="D77" s="9" t="s">
        <v>5561</v>
      </c>
      <c r="E77" s="14"/>
    </row>
    <row r="78" customFormat="false" ht="15" hidden="false" customHeight="true" outlineLevel="0" collapsed="false">
      <c r="A78" s="9" t="s">
        <v>294</v>
      </c>
      <c r="B78" s="9" t="s">
        <v>5942</v>
      </c>
      <c r="C78" s="9" t="s">
        <v>5943</v>
      </c>
      <c r="D78" s="9" t="s">
        <v>5561</v>
      </c>
      <c r="E78" s="14"/>
    </row>
    <row r="79" customFormat="false" ht="15" hidden="false" customHeight="true" outlineLevel="0" collapsed="false">
      <c r="A79" s="9" t="s">
        <v>294</v>
      </c>
      <c r="B79" s="9" t="s">
        <v>5944</v>
      </c>
      <c r="C79" s="9" t="s">
        <v>5945</v>
      </c>
      <c r="D79" s="9" t="s">
        <v>5561</v>
      </c>
      <c r="E79" s="14"/>
    </row>
    <row r="80" customFormat="false" ht="15" hidden="false" customHeight="true" outlineLevel="0" collapsed="false">
      <c r="A80" s="9" t="s">
        <v>294</v>
      </c>
      <c r="B80" s="9" t="s">
        <v>5946</v>
      </c>
      <c r="C80" s="9" t="s">
        <v>5947</v>
      </c>
      <c r="D80" s="9" t="s">
        <v>5557</v>
      </c>
      <c r="E80" s="14"/>
    </row>
    <row r="81" customFormat="false" ht="23.25" hidden="false" customHeight="true" outlineLevel="0" collapsed="false">
      <c r="A81" s="9" t="s">
        <v>294</v>
      </c>
      <c r="B81" s="9" t="s">
        <v>5948</v>
      </c>
      <c r="C81" s="9" t="s">
        <v>5949</v>
      </c>
      <c r="D81" s="9" t="s">
        <v>5557</v>
      </c>
      <c r="E81" s="14"/>
    </row>
    <row r="82" customFormat="false" ht="15" hidden="false" customHeight="true" outlineLevel="0" collapsed="false">
      <c r="A82" s="9" t="s">
        <v>312</v>
      </c>
      <c r="B82" s="9" t="s">
        <v>5950</v>
      </c>
      <c r="C82" s="9" t="s">
        <v>5951</v>
      </c>
      <c r="D82" s="9" t="s">
        <v>5561</v>
      </c>
      <c r="E82" s="14"/>
    </row>
    <row r="83" customFormat="false" ht="15" hidden="false" customHeight="true" outlineLevel="0" collapsed="false">
      <c r="A83" s="9" t="s">
        <v>312</v>
      </c>
      <c r="B83" s="9" t="s">
        <v>5952</v>
      </c>
      <c r="C83" s="9" t="s">
        <v>5953</v>
      </c>
      <c r="D83" s="9" t="s">
        <v>5557</v>
      </c>
      <c r="E83" s="14"/>
    </row>
    <row r="84" customFormat="false" ht="15" hidden="false" customHeight="true" outlineLevel="0" collapsed="false">
      <c r="A84" s="9" t="s">
        <v>312</v>
      </c>
      <c r="B84" s="9" t="s">
        <v>5954</v>
      </c>
      <c r="C84" s="9" t="s">
        <v>5955</v>
      </c>
      <c r="D84" s="9" t="s">
        <v>5557</v>
      </c>
      <c r="E84" s="14"/>
    </row>
    <row r="85" customFormat="false" ht="15" hidden="false" customHeight="true" outlineLevel="0" collapsed="false">
      <c r="A85" s="9" t="s">
        <v>312</v>
      </c>
      <c r="B85" s="9" t="s">
        <v>5956</v>
      </c>
      <c r="C85" s="9" t="s">
        <v>5957</v>
      </c>
      <c r="D85" s="9" t="s">
        <v>5557</v>
      </c>
      <c r="E85" s="14"/>
    </row>
    <row r="86" customFormat="false" ht="15" hidden="false" customHeight="true" outlineLevel="0" collapsed="false">
      <c r="A86" s="9" t="s">
        <v>326</v>
      </c>
      <c r="B86" s="9" t="s">
        <v>5958</v>
      </c>
      <c r="C86" s="9" t="s">
        <v>5959</v>
      </c>
      <c r="D86" s="9" t="s">
        <v>5561</v>
      </c>
      <c r="E86" s="14"/>
    </row>
    <row r="87" customFormat="false" ht="23.25" hidden="false" customHeight="true" outlineLevel="0" collapsed="false">
      <c r="A87" s="9" t="s">
        <v>326</v>
      </c>
      <c r="B87" s="9" t="s">
        <v>5960</v>
      </c>
      <c r="C87" s="9" t="s">
        <v>5961</v>
      </c>
      <c r="D87" s="9" t="s">
        <v>5557</v>
      </c>
      <c r="E87" s="14"/>
    </row>
    <row r="88" customFormat="false" ht="23.25" hidden="false" customHeight="true" outlineLevel="0" collapsed="false">
      <c r="A88" s="9" t="s">
        <v>326</v>
      </c>
      <c r="B88" s="9" t="s">
        <v>5962</v>
      </c>
      <c r="C88" s="9" t="s">
        <v>5963</v>
      </c>
      <c r="D88" s="9" t="s">
        <v>5557</v>
      </c>
      <c r="E88" s="14"/>
    </row>
    <row r="89" customFormat="false" ht="15" hidden="false" customHeight="true" outlineLevel="0" collapsed="false">
      <c r="A89" s="9" t="s">
        <v>326</v>
      </c>
      <c r="B89" s="9" t="s">
        <v>5964</v>
      </c>
      <c r="C89" s="9" t="s">
        <v>5965</v>
      </c>
      <c r="D89" s="9" t="s">
        <v>5561</v>
      </c>
      <c r="E89" s="14"/>
    </row>
    <row r="90" customFormat="false" ht="23.25" hidden="false" customHeight="true" outlineLevel="0" collapsed="false">
      <c r="A90" s="9" t="s">
        <v>326</v>
      </c>
      <c r="B90" s="9" t="s">
        <v>5966</v>
      </c>
      <c r="C90" s="9" t="s">
        <v>5967</v>
      </c>
      <c r="D90" s="9" t="s">
        <v>5557</v>
      </c>
      <c r="E90" s="14"/>
    </row>
    <row r="91" customFormat="false" ht="23.25" hidden="false" customHeight="true" outlineLevel="0" collapsed="false">
      <c r="A91" s="9" t="s">
        <v>326</v>
      </c>
      <c r="B91" s="9" t="s">
        <v>5968</v>
      </c>
      <c r="C91" s="9" t="s">
        <v>5969</v>
      </c>
      <c r="D91" s="9" t="s">
        <v>5561</v>
      </c>
      <c r="E91" s="14"/>
    </row>
    <row r="92" customFormat="false" ht="15" hidden="false" customHeight="true" outlineLevel="0" collapsed="false">
      <c r="A92" s="9" t="s">
        <v>342</v>
      </c>
      <c r="B92" s="9" t="s">
        <v>5970</v>
      </c>
      <c r="C92" s="9" t="s">
        <v>5971</v>
      </c>
      <c r="D92" s="9" t="s">
        <v>5557</v>
      </c>
      <c r="E92" s="14"/>
    </row>
    <row r="93" customFormat="false" ht="23.25" hidden="false" customHeight="true" outlineLevel="0" collapsed="false">
      <c r="A93" s="9" t="s">
        <v>342</v>
      </c>
      <c r="B93" s="9" t="s">
        <v>5972</v>
      </c>
      <c r="C93" s="9" t="s">
        <v>5973</v>
      </c>
      <c r="D93" s="9" t="s">
        <v>5557</v>
      </c>
      <c r="E93" s="14"/>
    </row>
    <row r="94" customFormat="false" ht="15" hidden="false" customHeight="true" outlineLevel="0" collapsed="false">
      <c r="A94" s="9" t="s">
        <v>342</v>
      </c>
      <c r="B94" s="9" t="s">
        <v>5974</v>
      </c>
      <c r="C94" s="9" t="s">
        <v>5975</v>
      </c>
      <c r="D94" s="9" t="s">
        <v>5557</v>
      </c>
      <c r="E94" s="14"/>
    </row>
    <row r="95" customFormat="false" ht="23.25" hidden="false" customHeight="true" outlineLevel="0" collapsed="false">
      <c r="A95" s="9" t="s">
        <v>342</v>
      </c>
      <c r="B95" s="9" t="s">
        <v>5976</v>
      </c>
      <c r="C95" s="9" t="s">
        <v>5977</v>
      </c>
      <c r="D95" s="9" t="s">
        <v>5561</v>
      </c>
      <c r="E95" s="14"/>
    </row>
    <row r="96" customFormat="false" ht="15" hidden="false" customHeight="true" outlineLevel="0" collapsed="false">
      <c r="A96" s="9" t="s">
        <v>342</v>
      </c>
      <c r="B96" s="9" t="s">
        <v>5978</v>
      </c>
      <c r="C96" s="9" t="s">
        <v>5979</v>
      </c>
      <c r="D96" s="9" t="s">
        <v>5561</v>
      </c>
      <c r="E96" s="14"/>
    </row>
  </sheetData>
  <autoFilter ref="A1:E96"/>
  <dataValidations count="1">
    <dataValidation allowBlank="true" errorStyle="stop" operator="between" showDropDown="false" showErrorMessage="false" showInputMessage="false" sqref="D2:D1000"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50"/>
    <col collapsed="false" customWidth="true" hidden="false" outlineLevel="0" max="4" min="4" style="1" width="11"/>
    <col collapsed="false" customWidth="true" hidden="false" outlineLevel="0" max="6" min="5" style="1" width="7"/>
    <col collapsed="false" customWidth="true" hidden="false" outlineLevel="0" max="7" min="7" style="1" width="11"/>
    <col collapsed="false" customWidth="true" hidden="false" outlineLevel="0" max="8" min="8" style="1" width="18"/>
    <col collapsed="false" customWidth="true" hidden="false" outlineLevel="0" max="9" min="9" style="1" width="50"/>
    <col collapsed="false" customWidth="true" hidden="false" outlineLevel="0" max="11" min="10" style="1" width="40"/>
    <col collapsed="false" customWidth="true" hidden="false" outlineLevel="0" max="12" min="12" style="1" width="45"/>
    <col collapsed="false" customWidth="true" hidden="false" outlineLevel="0" max="13" min="13" style="1" width="30"/>
  </cols>
  <sheetData>
    <row r="1" customFormat="false" ht="31.5" hidden="false" customHeight="true" outlineLevel="0" collapsed="false">
      <c r="A1" s="7" t="s">
        <v>41</v>
      </c>
      <c r="B1" s="7" t="s">
        <v>5980</v>
      </c>
      <c r="C1" s="7" t="s">
        <v>5981</v>
      </c>
      <c r="D1" s="7" t="s">
        <v>5982</v>
      </c>
      <c r="E1" s="7" t="s">
        <v>49</v>
      </c>
      <c r="F1" s="7" t="s">
        <v>50</v>
      </c>
      <c r="G1" s="7" t="s">
        <v>5983</v>
      </c>
      <c r="H1" s="7" t="s">
        <v>5984</v>
      </c>
      <c r="I1" s="8" t="s">
        <v>65</v>
      </c>
      <c r="J1" s="8" t="s">
        <v>5985</v>
      </c>
      <c r="K1" s="8" t="s">
        <v>5986</v>
      </c>
      <c r="L1" s="8" t="s">
        <v>5987</v>
      </c>
      <c r="M1" s="7" t="s">
        <v>66</v>
      </c>
    </row>
    <row r="2" customFormat="false" ht="113.25" hidden="false" customHeight="true" outlineLevel="0" collapsed="false">
      <c r="A2" s="9" t="s">
        <v>294</v>
      </c>
      <c r="B2" s="9" t="s">
        <v>297</v>
      </c>
      <c r="C2" s="9" t="s">
        <v>5988</v>
      </c>
      <c r="D2" s="11" t="n">
        <v>12000</v>
      </c>
      <c r="E2" s="9" t="s">
        <v>73</v>
      </c>
      <c r="F2" s="9" t="n">
        <v>140</v>
      </c>
      <c r="G2" s="9" t="s">
        <v>5989</v>
      </c>
      <c r="H2" s="9" t="s">
        <v>1628</v>
      </c>
      <c r="I2" s="13" t="s">
        <v>5990</v>
      </c>
      <c r="J2" s="13" t="s">
        <v>5991</v>
      </c>
      <c r="K2" s="13" t="s">
        <v>5992</v>
      </c>
      <c r="L2" s="13" t="s">
        <v>5993</v>
      </c>
      <c r="M2" s="14"/>
    </row>
    <row r="3" customFormat="false" ht="57" hidden="false" customHeight="true" outlineLevel="0" collapsed="false">
      <c r="A3" s="9" t="s">
        <v>312</v>
      </c>
      <c r="B3" s="9" t="s">
        <v>297</v>
      </c>
      <c r="C3" s="9" t="s">
        <v>5994</v>
      </c>
      <c r="D3" s="11" t="n">
        <v>15000</v>
      </c>
      <c r="E3" s="9" t="s">
        <v>73</v>
      </c>
      <c r="F3" s="9" t="n">
        <v>85</v>
      </c>
      <c r="G3" s="9" t="s">
        <v>5995</v>
      </c>
      <c r="H3" s="9" t="s">
        <v>5996</v>
      </c>
      <c r="I3" s="13" t="s">
        <v>5997</v>
      </c>
      <c r="J3" s="13" t="s">
        <v>5998</v>
      </c>
      <c r="K3" s="13" t="s">
        <v>5999</v>
      </c>
      <c r="L3" s="13" t="s">
        <v>6000</v>
      </c>
      <c r="M3" s="14"/>
    </row>
    <row r="4" customFormat="false" ht="113.25" hidden="false" customHeight="true" outlineLevel="0" collapsed="false">
      <c r="A4" s="9" t="s">
        <v>326</v>
      </c>
      <c r="B4" s="9" t="s">
        <v>297</v>
      </c>
      <c r="C4" s="9" t="s">
        <v>6001</v>
      </c>
      <c r="D4" s="15" t="n">
        <v>400000</v>
      </c>
      <c r="E4" s="9" t="s">
        <v>110</v>
      </c>
      <c r="F4" s="9" t="n">
        <v>160</v>
      </c>
      <c r="G4" s="9" t="s">
        <v>6002</v>
      </c>
      <c r="H4" s="9" t="s">
        <v>1628</v>
      </c>
      <c r="I4" s="13" t="s">
        <v>6003</v>
      </c>
      <c r="J4" s="13" t="s">
        <v>6004</v>
      </c>
      <c r="K4" s="13" t="s">
        <v>6005</v>
      </c>
      <c r="L4" s="13" t="s">
        <v>6006</v>
      </c>
      <c r="M4" s="14"/>
    </row>
    <row r="5" customFormat="false" ht="102" hidden="false" customHeight="true" outlineLevel="0" collapsed="false">
      <c r="A5" s="9" t="s">
        <v>342</v>
      </c>
      <c r="B5" s="9" t="s">
        <v>345</v>
      </c>
      <c r="C5" s="9" t="s">
        <v>6007</v>
      </c>
      <c r="D5" s="11" t="n">
        <v>9400</v>
      </c>
      <c r="E5" s="9" t="s">
        <v>73</v>
      </c>
      <c r="F5" s="9" t="n">
        <v>61</v>
      </c>
      <c r="G5" s="9" t="s">
        <v>1628</v>
      </c>
      <c r="H5" s="9" t="s">
        <v>1628</v>
      </c>
      <c r="I5" s="13" t="s">
        <v>6008</v>
      </c>
      <c r="J5" s="13" t="s">
        <v>6009</v>
      </c>
      <c r="K5" s="13" t="s">
        <v>6010</v>
      </c>
      <c r="L5" s="13" t="s">
        <v>6011</v>
      </c>
      <c r="M5" s="14"/>
    </row>
  </sheetData>
  <autoFilter ref="A1:M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2026-10-29T19:13:23Z</dcterms:created>
  <dc:creator>openpyxl</dc:creator>
  <dc:description/>
  <dc:language>en-US</dc:language>
  <cp:lastModifiedBy/>
  <dcterms:modified xsi:type="dcterms:W3CDTF">2026-10-30T05:51:46Z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