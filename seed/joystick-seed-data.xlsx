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Missions" sheetId="2" state="visible" r:id="rId4"/>
    <sheet name="Stages" sheetId="3" state="visible" r:id="rId5"/>
    <sheet name="Squads" sheetId="4" state="visible" r:id="rId6"/>
    <sheet name="Quests" sheetId="5" state="visible" r:id="rId7"/>
    <sheet name="People" sheetId="6" state="visible" r:id="rId8"/>
    <sheet name="Invites" sheetId="7" state="visible" r:id="rId9"/>
    <sheet name="Finished" sheetId="8" state="visible" r:id="rId10"/>
  </sheets>
  <definedNames>
    <definedName function="false" hidden="true" localSheetId="7" name="_xlnm._FilterDatabase" vbProcedure="false">Finished!$A$1:$I$5</definedName>
    <definedName function="false" hidden="true" localSheetId="6" name="_xlnm._FilterDatabase" vbProcedure="false">Invites!$A$1:$G$14</definedName>
    <definedName function="false" hidden="true" localSheetId="1" name="_xlnm._FilterDatabase" vbProcedure="false">Missions!$A$1:$S$18</definedName>
    <definedName function="false" hidden="true" localSheetId="5" name="_xlnm._FilterDatabase" vbProcedure="false">People!$A$1:$S$31</definedName>
    <definedName function="false" hidden="true" localSheetId="4" name="_xlnm._FilterDatabase" vbProcedure="false">Quests!$A$1:$L$72</definedName>
    <definedName function="false" hidden="true" localSheetId="3" name="_xlnm._FilterDatabase" vbProcedure="false">Squads!$A$1:$P$23</definedName>
    <definedName function="false" hidden="true" localSheetId="2" name="_xlnm._FilterDatabase" vbProcedure="false">Stages!$A$1:$K$55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<sst xmlns="http://schemas.openxmlformats.org/spreadsheetml/2006/main" count="2060" uniqueCount="1066">
  <si>
    <t xml:space="preserve">Joystick seed data</t>
  </si>
  <si>
    <t xml:space="preserve">Everything a visitor sees on first open: missions, stages, squads, quests, people and invites. Edit here, then we load it into the app.</t>
  </si>
  <si>
    <t xml:space="preserve">How to use</t>
  </si>
  <si>
    <t xml:space="preserve">• One row = one thing. IDs link the tabs (Stages, Squads and Quests point to a Mission ID; Quests point to a Squad ID).</t>
  </si>
  <si>
    <t xml:space="preserve">• Yellow 'Your notes' column: write comments or changes there.</t>
  </si>
  <si>
    <t xml:space="preserve">• Blue cells are formulas (counts, %). Don't type in them; they update by themselves.</t>
  </si>
  <si>
    <t xml:space="preserve">• Dropdowns on Section, Role, Size, State and Shape keep values consistent.</t>
  </si>
  <si>
    <t xml:space="preserve">At a glance</t>
  </si>
  <si>
    <t xml:space="preserve">Live missions</t>
  </si>
  <si>
    <t xml:space="preserve">Finished missions</t>
  </si>
  <si>
    <t xml:space="preserve">Squads</t>
  </si>
  <si>
    <t xml:space="preserve">Quests</t>
  </si>
  <si>
    <t xml:space="preserve">Open quests</t>
  </si>
  <si>
    <t xml:space="preserve">People</t>
  </si>
  <si>
    <t xml:space="preserve">People in India</t>
  </si>
  <si>
    <t xml:space="preserve">Missions in Health</t>
  </si>
  <si>
    <t xml:space="preserve">Missions in Planet</t>
  </si>
  <si>
    <t xml:space="preserve">Missions in Learning</t>
  </si>
  <si>
    <t xml:space="preserve">Missions in AI</t>
  </si>
  <si>
    <t xml:space="preserve">Missions in Society</t>
  </si>
  <si>
    <t xml:space="preserve">Copy rules</t>
  </si>
  <si>
    <t xml:space="preserve">• Mission titles: 6 words or fewer, a concrete promise.</t>
  </si>
  <si>
    <t xml:space="preserve">• Stage goals: something you can count ("200 reefs checked", not "assess reef health").</t>
  </si>
  <si>
    <t xml:space="preserve">• Quests read like a to-do: verb first, under 10 words.</t>
  </si>
  <si>
    <t xml:space="preserve">• Modest, believable numbers: tens to a few hundred players. Never "millions".</t>
  </si>
  <si>
    <t xml:space="preserve">• No real organisations or famous names. Invent them. Real places are fine.</t>
  </si>
  <si>
    <t xml:space="preserve">• India missions use ₹. Everything else uses $.</t>
  </si>
  <si>
    <t xml:space="preserve">Society ground rules</t>
  </si>
  <si>
    <t xml:space="preserve">• Never for or against a party or person. Same template for every candidate, public records only.</t>
  </si>
  <si>
    <t xml:space="preserve">• Every civic fact is checked by 2 checkers before it goes out.</t>
  </si>
  <si>
    <t xml:space="preserve">• No private people's details. Officials, schools and roads, yes. Neighbours, no.</t>
  </si>
  <si>
    <t xml:space="preserve">• Every on-ground quest carries a safety note (see Quests › Safety note).</t>
  </si>
  <si>
    <t xml:space="preserve">Mission states (each live mission shows a different one)</t>
  </si>
  <si>
    <t xml:space="preserve">Proposed · Raising money · Plan in review · Recruiting · Just started · Racing · Merging · Countdown · Stuck · Final stage · Won · Stopped</t>
  </si>
  <si>
    <t xml:space="preserve">Roles</t>
  </si>
  <si>
    <t xml:space="preserve">Leader · Planner · Expert · Maker · Checker · Storyteller · Patron · User (everyone is a User automatically)</t>
  </si>
  <si>
    <t xml:space="preserve">To check before the hackathon</t>
  </si>
  <si>
    <t xml:space="preserve">• The current app names a real hospital (Charité) and company (Autodesk). Swap for invented ones. The CAD mission is replaced by the AI language model and agent engine missions.</t>
  </si>
  <si>
    <t xml:space="preserve">• Agents-only squad (Sky Eyes) depends on the 🤖 Agents only / ✓ Human checked badge.</t>
  </si>
  <si>
    <t xml:space="preserve">Mission ID</t>
  </si>
  <si>
    <t xml:space="preserve">Section</t>
  </si>
  <si>
    <t xml:space="preserve">Title</t>
  </si>
  <si>
    <t xml:space="preserve">One-line pitch</t>
  </si>
  <si>
    <t xml:space="preserve">State</t>
  </si>
  <si>
    <t xml:space="preserve">What a visitor learns</t>
  </si>
  <si>
    <t xml:space="preserve">Current stage</t>
  </si>
  <si>
    <t xml:space="preserve">Stages</t>
  </si>
  <si>
    <t xml:space="preserve">Prize</t>
  </si>
  <si>
    <t xml:space="preserve">Currency</t>
  </si>
  <si>
    <t xml:space="preserve">Players</t>
  </si>
  <si>
    <t xml:space="preserve">Creator</t>
  </si>
  <si>
    <t xml:space="preserve">Creator is…</t>
  </si>
  <si>
    <t xml:space="preserve">Where</t>
  </si>
  <si>
    <t xml:space="preserve">In the app today</t>
  </si>
  <si>
    <t xml:space="preserve">Your notes</t>
  </si>
  <si>
    <t xml:space="preserve">glio</t>
  </si>
  <si>
    <t xml:space="preserve">Health</t>
  </si>
  <si>
    <t xml:space="preserve">Find a drug for glioblastoma</t>
  </si>
  <si>
    <t xml:space="preserve">Find a drug that kills this brain tumour and get it to a first human trial, fully open.</t>
  </si>
  <si>
    <t xml:space="preserve">Racing</t>
  </si>
  <si>
    <t xml:space="preserve">Squads race each other with different plans</t>
  </si>
  <si>
    <t xml:space="preserve">$</t>
  </si>
  <si>
    <t xml:space="preserve">Dr. Amara Osei</t>
  </si>
  <si>
    <t xml:space="preserve">Brain tumour doctor (fictional hospital)</t>
  </si>
  <si>
    <t xml:space="preserve">Global</t>
  </si>
  <si>
    <t xml:space="preserve">Existing · rename from 'Cure Glioblastoma'</t>
  </si>
  <si>
    <t xml:space="preserve">aid</t>
  </si>
  <si>
    <t xml:space="preserve">First-aid guides in 50 languages</t>
  </si>
  <si>
    <t xml:space="preserve">Turn the 20 first-aid guides that save the most lives into 50 languages, free.</t>
  </si>
  <si>
    <t xml:space="preserve">Recruiting</t>
  </si>
  <si>
    <t xml:space="preserve">There is a 15-minute quest you can do right now</t>
  </si>
  <si>
    <t xml:space="preserve">Maria Santos</t>
  </si>
  <si>
    <t xml:space="preserve">ER nurse, Manila</t>
  </si>
  <si>
    <t xml:space="preserve">New</t>
  </si>
  <si>
    <t xml:space="preserve">llm</t>
  </si>
  <si>
    <t xml:space="preserve">AI</t>
  </si>
  <si>
    <t xml:space="preserve">Build an open AI that speaks India</t>
  </si>
  <si>
    <t xml:space="preserve">A free AI model that understands 22 Indian languages and runs on one laptop.</t>
  </si>
  <si>
    <t xml:space="preserve">Merging</t>
  </si>
  <si>
    <t xml:space="preserve">Two plans can join forces</t>
  </si>
  <si>
    <t xml:space="preserve">₹</t>
  </si>
  <si>
    <t xml:space="preserve">Vikram Rao</t>
  </si>
  <si>
    <t xml:space="preserve">AI researcher, Bengaluru</t>
  </si>
  <si>
    <t xml:space="preserve">India</t>
  </si>
  <si>
    <t xml:space="preserve">New · replaces the CAD mission</t>
  </si>
  <si>
    <t xml:space="preserve">harness</t>
  </si>
  <si>
    <t xml:space="preserve">Build the agent engine Joystick runs on</t>
  </si>
  <si>
    <t xml:space="preserve">The open-source engine that lets every player's agent plan, do and check quests safely.</t>
  </si>
  <si>
    <t xml:space="preserve">You can help build the game itself</t>
  </si>
  <si>
    <t xml:space="preserve">Kit Bashford</t>
  </si>
  <si>
    <t xml:space="preserve">Agent engineer, 12 years</t>
  </si>
  <si>
    <t xml:space="preserve">reef</t>
  </si>
  <si>
    <t xml:space="preserve">Planet</t>
  </si>
  <si>
    <t xml:space="preserve">Map every coral reef from space</t>
  </si>
  <si>
    <t xml:space="preserve">A free weekly map that shows where coral is dying.</t>
  </si>
  <si>
    <t xml:space="preserve">Stuck</t>
  </si>
  <si>
    <t xml:space="preserve">Blockers, and how you can help</t>
  </si>
  <si>
    <t xml:space="preserve">Blue Carbon Lab</t>
  </si>
  <si>
    <t xml:space="preserve">Marine charity (fictional)</t>
  </si>
  <si>
    <t xml:space="preserve">Existing</t>
  </si>
  <si>
    <t xml:space="preserve">lead</t>
  </si>
  <si>
    <t xml:space="preserve">Find every lead pipe in one city</t>
  </si>
  <si>
    <t xml:space="preserve">Find every lead water pipe in Dayton so the city can replace them.</t>
  </si>
  <si>
    <t xml:space="preserve">Proposed</t>
  </si>
  <si>
    <t xml:space="preserve">Players decide what gets started</t>
  </si>
  <si>
    <t xml:space="preserve">Bill Turner</t>
  </si>
  <si>
    <t xml:space="preserve">Retired civil engineer, Ohio</t>
  </si>
  <si>
    <t xml:space="preserve">Dayton, USA</t>
  </si>
  <si>
    <t xml:space="preserve">tutor</t>
  </si>
  <si>
    <t xml:space="preserve">Learning</t>
  </si>
  <si>
    <t xml:space="preserve">Offline maths tutor for kids</t>
  </si>
  <si>
    <t xml:space="preserve">A maths tutor that works on a $50 phone with no internet, in 10 languages.</t>
  </si>
  <si>
    <t xml:space="preserve">Final stage</t>
  </si>
  <si>
    <t xml:space="preserve">What a finish looks like</t>
  </si>
  <si>
    <t xml:space="preserve">Chioma Okafor</t>
  </si>
  <si>
    <t xml:space="preserve">Head teacher, Lagos</t>
  </si>
  <si>
    <t xml:space="preserve">10 countries</t>
  </si>
  <si>
    <t xml:space="preserve">Existing · rename from 'Free AI tutor for 1M kids'</t>
  </si>
  <si>
    <t xml:space="preserve">benefits</t>
  </si>
  <si>
    <t xml:space="preserve">Society</t>
  </si>
  <si>
    <t xml:space="preserve">Get families the benefits they're owed</t>
  </si>
  <si>
    <t xml:space="preserve">Help poor families claim the pensions, scholarships and ration cards they already have a right to.</t>
  </si>
  <si>
    <t xml:space="preserve">Society missions work like science ones</t>
  </si>
  <si>
    <t xml:space="preserve">Meera Joshi</t>
  </si>
  <si>
    <t xml:space="preserve">NGO coordinator, Lucknow</t>
  </si>
  <si>
    <t xml:space="preserve">Uttar Pradesh, India</t>
  </si>
  <si>
    <t xml:space="preserve">candidate</t>
  </si>
  <si>
    <t xml:space="preserve">Know your candidate before you vote</t>
  </si>
  <si>
    <t xml:space="preserve">Plain facts on every candidate in the Pune city election, from public records only.</t>
  </si>
  <si>
    <t xml:space="preserve">Countdown</t>
  </si>
  <si>
    <t xml:space="preserve">Some missions race a deadline (12 days to voting day)</t>
  </si>
  <si>
    <t xml:space="preserve">Arjun Mehta</t>
  </si>
  <si>
    <t xml:space="preserve">Journalist, Mumbai</t>
  </si>
  <si>
    <t xml:space="preserve">Pune, India</t>
  </si>
  <si>
    <t xml:space="preserve">pothole</t>
  </si>
  <si>
    <t xml:space="preserve">Fix every pothole in Bengaluru</t>
  </si>
  <si>
    <t xml:space="preserve">Pin every pothole, file it with the city, and chase it until it's fixed.</t>
  </si>
  <si>
    <t xml:space="preserve">Just started</t>
  </si>
  <si>
    <t xml:space="preserve">Lots of quick quests on your way home</t>
  </si>
  <si>
    <t xml:space="preserve">Kavya Iyer</t>
  </si>
  <si>
    <t xml:space="preserve">Product manager, Bengaluru</t>
  </si>
  <si>
    <t xml:space="preserve">Bengaluru, India</t>
  </si>
  <si>
    <t xml:space="preserve">rti</t>
  </si>
  <si>
    <t xml:space="preserve">Ask where the school money went</t>
  </si>
  <si>
    <t xml:space="preserve">Use information requests to see what 100 government schools got, and check what's really there.</t>
  </si>
  <si>
    <t xml:space="preserve">Real-world blockers need people, not just agents</t>
  </si>
  <si>
    <t xml:space="preserve">Rajesh Kumar</t>
  </si>
  <si>
    <t xml:space="preserve">Retired teacher, Patna</t>
  </si>
  <si>
    <t xml:space="preserve">Bihar, India</t>
  </si>
  <si>
    <t xml:space="preserve">flood</t>
  </si>
  <si>
    <t xml:space="preserve">Flood alerts by text for Lagos</t>
  </si>
  <si>
    <t xml:space="preserve">River sensors that text families 2 hours before a flood.</t>
  </si>
  <si>
    <t xml:space="preserve">Plan in review</t>
  </si>
  <si>
    <t xml:space="preserve">The mission creator OKs each new plan</t>
  </si>
  <si>
    <t xml:space="preserve">Femi Adeyemi</t>
  </si>
  <si>
    <t xml:space="preserve">Telecom engineer, Lagos</t>
  </si>
  <si>
    <t xml:space="preserve">Lagos, Nigeria</t>
  </si>
  <si>
    <t xml:space="preserve">renter</t>
  </si>
  <si>
    <t xml:space="preserve">Free legal letters for renters</t>
  </si>
  <si>
    <t xml:space="preserve">Lawyer-checked letters renters can send in one tap: repairs, deposits, eviction.</t>
  </si>
  <si>
    <t xml:space="preserve">Raising money</t>
  </si>
  <si>
    <t xml:space="preserve">Backing a plan is a way to play (Patron)</t>
  </si>
  <si>
    <t xml:space="preserve">Jamal Carter</t>
  </si>
  <si>
    <t xml:space="preserve">Tenant organiser, Atlanta</t>
  </si>
  <si>
    <t xml:space="preserve">Atlanta, USA</t>
  </si>
  <si>
    <t xml:space="preserve">fountains</t>
  </si>
  <si>
    <t xml:space="preserve">Map every water fountain in Berlin</t>
  </si>
  <si>
    <t xml:space="preserve">Find every public fountain and get the broken ones fixed.</t>
  </si>
  <si>
    <t xml:space="preserve">Won</t>
  </si>
  <si>
    <t xml:space="preserve">Real payouts and medals</t>
  </si>
  <si>
    <t xml:space="preserve">Lena Vogt</t>
  </si>
  <si>
    <t xml:space="preserve">Product designer, Berlin</t>
  </si>
  <si>
    <t xml:space="preserve">Berlin, Germany</t>
  </si>
  <si>
    <t xml:space="preserve">New · finished list</t>
  </si>
  <si>
    <t xml:space="preserve">ramp</t>
  </si>
  <si>
    <t xml:space="preserve">Open design for a $40 wheelchair ramp</t>
  </si>
  <si>
    <t xml:space="preserve">A ramp anyone can build from one sheet of plywood.</t>
  </si>
  <si>
    <t xml:space="preserve">Won · you helped</t>
  </si>
  <si>
    <t xml:space="preserve">Your history and medals</t>
  </si>
  <si>
    <t xml:space="preserve">pumps</t>
  </si>
  <si>
    <t xml:space="preserve">Find every broken hand pump in one district</t>
  </si>
  <si>
    <t xml:space="preserve">Report every broken village hand pump in Barmer and get it fixed.</t>
  </si>
  <si>
    <t xml:space="preserve">Impact on the ground in India</t>
  </si>
  <si>
    <t xml:space="preserve">Sunita Devi</t>
  </si>
  <si>
    <t xml:space="preserve">ASHA health worker, Rajasthan</t>
  </si>
  <si>
    <t xml:space="preserve">Rajasthan, India</t>
  </si>
  <si>
    <t xml:space="preserve">air</t>
  </si>
  <si>
    <t xml:space="preserve">Low-cost air sensor for classrooms</t>
  </si>
  <si>
    <t xml:space="preserve">A $20 sensor that tells teachers when to open a window.</t>
  </si>
  <si>
    <t xml:space="preserve">Stopped</t>
  </si>
  <si>
    <t xml:space="preserve">Failure is safe: unspent money goes back</t>
  </si>
  <si>
    <t xml:space="preserve">Sofia Rossi</t>
  </si>
  <si>
    <t xml:space="preserve">Retired accountant, Milan</t>
  </si>
  <si>
    <t xml:space="preserve">#</t>
  </si>
  <si>
    <t xml:space="preserve">Stage</t>
  </si>
  <si>
    <t xml:space="preserve">Goal (countable)</t>
  </si>
  <si>
    <t xml:space="preserve">Target</t>
  </si>
  <si>
    <t xml:space="preserve">Unit</t>
  </si>
  <si>
    <t xml:space="preserve">Progress</t>
  </si>
  <si>
    <t xml:space="preserve">% done</t>
  </si>
  <si>
    <t xml:space="preserve">Status</t>
  </si>
  <si>
    <t xml:space="preserve">In plain words</t>
  </si>
  <si>
    <t xml:space="preserve">Recon</t>
  </si>
  <si>
    <t xml:space="preserve">Map every open brain tumour dataset</t>
  </si>
  <si>
    <t xml:space="preserve">datasets</t>
  </si>
  <si>
    <t xml:space="preserve">Done</t>
  </si>
  <si>
    <t xml:space="preserve">Find all the free data we can learn from.</t>
  </si>
  <si>
    <t xml:space="preserve">Hypothesis</t>
  </si>
  <si>
    <t xml:space="preserve">Rank the top 50 drug targets</t>
  </si>
  <si>
    <t xml:space="preserve">targets</t>
  </si>
  <si>
    <t xml:space="preserve">Pick the weak spots in the tumour to aim at.</t>
  </si>
  <si>
    <t xml:space="preserve">Simulate</t>
  </si>
  <si>
    <t xml:space="preserve">Shortlist 10 drug candidates</t>
  </si>
  <si>
    <t xml:space="preserve">candidates</t>
  </si>
  <si>
    <t xml:space="preserve">Now</t>
  </si>
  <si>
    <t xml:space="preserve">Find 10 drugs that might kill this tumour, and prove each one on real data.</t>
  </si>
  <si>
    <t xml:space="preserve">Wet lab</t>
  </si>
  <si>
    <t xml:space="preserve">Test the top 10 in a partner lab</t>
  </si>
  <si>
    <t xml:space="preserve">drugs tested</t>
  </si>
  <si>
    <t xml:space="preserve">Locked</t>
  </si>
  <si>
    <t xml:space="preserve">Test the 10 on real tumour cells.</t>
  </si>
  <si>
    <t xml:space="preserve">Trial</t>
  </si>
  <si>
    <t xml:space="preserve">File for a first human trial</t>
  </si>
  <si>
    <t xml:space="preserve">filing</t>
  </si>
  <si>
    <t xml:space="preserve">Ask to test the best one in a few patients.</t>
  </si>
  <si>
    <t xml:space="preserve">Pick</t>
  </si>
  <si>
    <t xml:space="preserve">Choose the 20 guides that save the most lives</t>
  </si>
  <si>
    <t xml:space="preserve">guides</t>
  </si>
  <si>
    <t xml:space="preserve">Agree which 20 guides matter most: choking, burns, CPR…</t>
  </si>
  <si>
    <t xml:space="preserve">Translate</t>
  </si>
  <si>
    <t xml:space="preserve">Translate them into 50 languages</t>
  </si>
  <si>
    <t xml:space="preserve">languages</t>
  </si>
  <si>
    <t xml:space="preserve">Agents draft, people who speak the language fix.</t>
  </si>
  <si>
    <t xml:space="preserve">Check</t>
  </si>
  <si>
    <t xml:space="preserve">A native speaker checks every guide</t>
  </si>
  <si>
    <t xml:space="preserve">guides checked</t>
  </si>
  <si>
    <t xml:space="preserve">Every guide is checked by someone who grew up speaking it.</t>
  </si>
  <si>
    <t xml:space="preserve">Share</t>
  </si>
  <si>
    <t xml:space="preserve">Free app and printable cards</t>
  </si>
  <si>
    <t xml:space="preserve">launch</t>
  </si>
  <si>
    <t xml:space="preserve">Anyone can download or print them.</t>
  </si>
  <si>
    <t xml:space="preserve">Data</t>
  </si>
  <si>
    <t xml:space="preserve">Gather 20 billion words of open text in 22 languages</t>
  </si>
  <si>
    <t xml:space="preserve">Collect free, legal text in every Indian language.</t>
  </si>
  <si>
    <t xml:space="preserve">Train</t>
  </si>
  <si>
    <t xml:space="preserve">Train a small model on 64 GPUs</t>
  </si>
  <si>
    <t xml:space="preserve">trained model</t>
  </si>
  <si>
    <t xml:space="preserve">Teach the model from that text.</t>
  </si>
  <si>
    <t xml:space="preserve">Test</t>
  </si>
  <si>
    <t xml:space="preserve">Beat today's open models on an Indian-language test</t>
  </si>
  <si>
    <t xml:space="preserve">languages won</t>
  </si>
  <si>
    <t xml:space="preserve">Prove it understands each language better.</t>
  </si>
  <si>
    <t xml:space="preserve">Ship</t>
  </si>
  <si>
    <t xml:space="preserve">Free download that runs on one laptop</t>
  </si>
  <si>
    <t xml:space="preserve">Anyone can use it, no cloud needed.</t>
  </si>
  <si>
    <t xml:space="preserve">Loop</t>
  </si>
  <si>
    <t xml:space="preserve">An agent finishes a 15-min quest on its own</t>
  </si>
  <si>
    <t xml:space="preserve">working loop</t>
  </si>
  <si>
    <t xml:space="preserve">One agent can pick a quest, do it and hand it in.</t>
  </si>
  <si>
    <t xml:space="preserve">Tools</t>
  </si>
  <si>
    <t xml:space="preserve">Agents use 10 tools safely</t>
  </si>
  <si>
    <t xml:space="preserve">tools</t>
  </si>
  <si>
    <t xml:space="preserve">GitHub, files, browser, payments… without doing anything you didn't allow.</t>
  </si>
  <si>
    <t xml:space="preserve">Review</t>
  </si>
  <si>
    <t xml:space="preserve">A second agent checks every result before a human sees it</t>
  </si>
  <si>
    <t xml:space="preserve">review step</t>
  </si>
  <si>
    <t xml:space="preserve">Two levels of checks: agent first, then human.</t>
  </si>
  <si>
    <t xml:space="preserve">Scale</t>
  </si>
  <si>
    <t xml:space="preserve">1,000 agents work at once with no money mistakes</t>
  </si>
  <si>
    <t xml:space="preserve">agents</t>
  </si>
  <si>
    <t xml:space="preserve">Many agents, zero wrong payments.</t>
  </si>
  <si>
    <t xml:space="preserve">Pilot</t>
  </si>
  <si>
    <t xml:space="preserve">Label 1,000 satellite photos</t>
  </si>
  <si>
    <t xml:space="preserve">photos</t>
  </si>
  <si>
    <t xml:space="preserve">Teach the computer what a reef looks like from space.</t>
  </si>
  <si>
    <t xml:space="preserve">Ground truth</t>
  </si>
  <si>
    <t xml:space="preserve">Check the health of 200 reefs on site</t>
  </si>
  <si>
    <t xml:space="preserve">reefs</t>
  </si>
  <si>
    <t xml:space="preserve">Divers check 200 reefs so we know the map is right.</t>
  </si>
  <si>
    <t xml:space="preserve">Model</t>
  </si>
  <si>
    <t xml:space="preserve">Map guesses reef health 9 times out of 10</t>
  </si>
  <si>
    <t xml:space="preserve">% right</t>
  </si>
  <si>
    <t xml:space="preserve">The map is right 9 times out of 10.</t>
  </si>
  <si>
    <t xml:space="preserve">Public map</t>
  </si>
  <si>
    <t xml:space="preserve">Weekly public reef map online</t>
  </si>
  <si>
    <t xml:space="preserve">Anyone can see it, every week.</t>
  </si>
  <si>
    <t xml:space="preserve">Records</t>
  </si>
  <si>
    <t xml:space="preserve">Get the city's water pipe records</t>
  </si>
  <si>
    <t xml:space="preserve">record set</t>
  </si>
  <si>
    <t xml:space="preserve">Find out what the city already knows.</t>
  </si>
  <si>
    <t xml:space="preserve">Photos</t>
  </si>
  <si>
    <t xml:space="preserve">Photo 2,000 pipes where they enter homes</t>
  </si>
  <si>
    <t xml:space="preserve">People photo the pipe at home. Agents spot lead.</t>
  </si>
  <si>
    <t xml:space="preserve">Map</t>
  </si>
  <si>
    <t xml:space="preserve">Public map of every lead pipe</t>
  </si>
  <si>
    <t xml:space="preserve">Anyone can check their street.</t>
  </si>
  <si>
    <t xml:space="preserve">Replace</t>
  </si>
  <si>
    <t xml:space="preserve">City commits to replace 500 pipes</t>
  </si>
  <si>
    <t xml:space="preserve">pipes</t>
  </si>
  <si>
    <t xml:space="preserve">The city says yes, with a date.</t>
  </si>
  <si>
    <t xml:space="preserve">Curriculum</t>
  </si>
  <si>
    <t xml:space="preserve">Write down what kids learn in maths in 10 countries</t>
  </si>
  <si>
    <t xml:space="preserve">countries</t>
  </si>
  <si>
    <t xml:space="preserve">Know what each class needs to learn.</t>
  </si>
  <si>
    <t xml:space="preserve">App</t>
  </si>
  <si>
    <t xml:space="preserve">Tutor works on a $50 phone with no internet</t>
  </si>
  <si>
    <t xml:space="preserve">working app</t>
  </si>
  <si>
    <t xml:space="preserve">It runs on cheap phones, offline.</t>
  </si>
  <si>
    <t xml:space="preserve">500 kids use it for 4 weeks</t>
  </si>
  <si>
    <t xml:space="preserve">kids</t>
  </si>
  <si>
    <t xml:space="preserve">Real kids use it in real schools.</t>
  </si>
  <si>
    <t xml:space="preserve">Results</t>
  </si>
  <si>
    <t xml:space="preserve">Test scores rise 10% in all 10 countries</t>
  </si>
  <si>
    <t xml:space="preserve">Prove it helps. 9 countries done, 1 to go.</t>
  </si>
  <si>
    <t xml:space="preserve">Schemes</t>
  </si>
  <si>
    <t xml:space="preserve">List 50 schemes in plain words</t>
  </si>
  <si>
    <t xml:space="preserve">schemes</t>
  </si>
  <si>
    <t xml:space="preserve">Write what each scheme gives and who can get it.</t>
  </si>
  <si>
    <t xml:space="preserve">Helper</t>
  </si>
  <si>
    <t xml:space="preserve">Families can ask about schemes in 6 languages</t>
  </si>
  <si>
    <t xml:space="preserve">A family can ask in their own language and get a clear answer.</t>
  </si>
  <si>
    <t xml:space="preserve">Apply</t>
  </si>
  <si>
    <t xml:space="preserve">1,000 families in 2 districts apply</t>
  </si>
  <si>
    <t xml:space="preserve">families</t>
  </si>
  <si>
    <t xml:space="preserve">Help families fill and send the forms.</t>
  </si>
  <si>
    <t xml:space="preserve">Paid</t>
  </si>
  <si>
    <t xml:space="preserve">10,000 families get their money</t>
  </si>
  <si>
    <t xml:space="preserve">The money actually reaches them.</t>
  </si>
  <si>
    <t xml:space="preserve">Collect</t>
  </si>
  <si>
    <t xml:space="preserve">Get the public affidavit of all 310 candidates</t>
  </si>
  <si>
    <t xml:space="preserve">affidavits</t>
  </si>
  <si>
    <t xml:space="preserve">Every candidate files these papers by law.</t>
  </si>
  <si>
    <t xml:space="preserve">One-pagers</t>
  </si>
  <si>
    <t xml:space="preserve">A plain one-page profile for every candidate</t>
  </si>
  <si>
    <t xml:space="preserve">profiles</t>
  </si>
  <si>
    <t xml:space="preserve">Cases, assets, education. Same page for everyone.</t>
  </si>
  <si>
    <t xml:space="preserve">2 checkers verify every profile</t>
  </si>
  <si>
    <t xml:space="preserve">Nothing goes out unchecked.</t>
  </si>
  <si>
    <t xml:space="preserve">Reach 1 lakh voters before voting day</t>
  </si>
  <si>
    <t xml:space="preserve">voters</t>
  </si>
  <si>
    <t xml:space="preserve">Send them by WhatsApp before people vote.</t>
  </si>
  <si>
    <t xml:space="preserve">Pin 5,000 potholes</t>
  </si>
  <si>
    <t xml:space="preserve">potholes</t>
  </si>
  <si>
    <t xml:space="preserve">Photo and pin every pothole you pass.</t>
  </si>
  <si>
    <t xml:space="preserve">File</t>
  </si>
  <si>
    <t xml:space="preserve">File every pothole with the city</t>
  </si>
  <si>
    <t xml:space="preserve">complaints</t>
  </si>
  <si>
    <t xml:space="preserve">Agents file the complaints for you.</t>
  </si>
  <si>
    <t xml:space="preserve">Track</t>
  </si>
  <si>
    <t xml:space="preserve">Chase every complaint until it's fixed</t>
  </si>
  <si>
    <t xml:space="preserve">Follow up so none are forgotten.</t>
  </si>
  <si>
    <t xml:space="preserve">Fixed</t>
  </si>
  <si>
    <t xml:space="preserve">80% fixed within 90 days</t>
  </si>
  <si>
    <t xml:space="preserve">% fixed</t>
  </si>
  <si>
    <t xml:space="preserve">Most of them actually get fixed.</t>
  </si>
  <si>
    <t xml:space="preserve">Pick 100 government schools</t>
  </si>
  <si>
    <t xml:space="preserve">schools</t>
  </si>
  <si>
    <t xml:space="preserve">Choose schools across 4 districts.</t>
  </si>
  <si>
    <t xml:space="preserve">Ask</t>
  </si>
  <si>
    <t xml:space="preserve">File an information request for each school</t>
  </si>
  <si>
    <t xml:space="preserve">requests</t>
  </si>
  <si>
    <t xml:space="preserve">Ask what money each school got.</t>
  </si>
  <si>
    <t xml:space="preserve">Replies</t>
  </si>
  <si>
    <t xml:space="preserve">Get answers from all 100 schools</t>
  </si>
  <si>
    <t xml:space="preserve">replies</t>
  </si>
  <si>
    <t xml:space="preserve">59 replies are late. Each needs an appeal filed in person.</t>
  </si>
  <si>
    <t xml:space="preserve">Visit</t>
  </si>
  <si>
    <t xml:space="preserve">Visit each school and compare</t>
  </si>
  <si>
    <t xml:space="preserve">visits</t>
  </si>
  <si>
    <t xml:space="preserve">Check if the books, toilets and teachers are really there.</t>
  </si>
  <si>
    <t xml:space="preserve">Report</t>
  </si>
  <si>
    <t xml:space="preserve">A report card for every school</t>
  </si>
  <si>
    <t xml:space="preserve">report cards</t>
  </si>
  <si>
    <t xml:space="preserve">Parents can see it all in one page.</t>
  </si>
  <si>
    <t xml:space="preserve">Sensors</t>
  </si>
  <si>
    <t xml:space="preserve">Put 20 water sensors on 3 rivers</t>
  </si>
  <si>
    <t xml:space="preserve">sensors</t>
  </si>
  <si>
    <t xml:space="preserve">First plan is waiting for the creator's OK.</t>
  </si>
  <si>
    <t xml:space="preserve">Alerts</t>
  </si>
  <si>
    <t xml:space="preserve">Text alerts reach 10,000 phones</t>
  </si>
  <si>
    <t xml:space="preserve">phones</t>
  </si>
  <si>
    <t xml:space="preserve">Families sign up by text.</t>
  </si>
  <si>
    <t xml:space="preserve">Alerts arrive 2 hours before floods</t>
  </si>
  <si>
    <t xml:space="preserve">hours warning</t>
  </si>
  <si>
    <t xml:space="preserve">Prove it warns people in time.</t>
  </si>
  <si>
    <t xml:space="preserve">Hand over</t>
  </si>
  <si>
    <t xml:space="preserve">The local council runs it</t>
  </si>
  <si>
    <t xml:space="preserve">handover</t>
  </si>
  <si>
    <t xml:space="preserve">Someone local keeps it going.</t>
  </si>
  <si>
    <t xml:space="preserve">Letters</t>
  </si>
  <si>
    <t xml:space="preserve">Write 10 letters for the most common problems</t>
  </si>
  <si>
    <t xml:space="preserve">letters</t>
  </si>
  <si>
    <t xml:space="preserve">Repairs, deposits, rent rises, eviction…</t>
  </si>
  <si>
    <t xml:space="preserve">A lawyer checks every letter</t>
  </si>
  <si>
    <t xml:space="preserve">Nothing goes out without a lawyer's OK.</t>
  </si>
  <si>
    <t xml:space="preserve">Launch</t>
  </si>
  <si>
    <t xml:space="preserve">Free letter tool online</t>
  </si>
  <si>
    <t xml:space="preserve">Pick your problem, fill 3 boxes, send.</t>
  </si>
  <si>
    <t xml:space="preserve">Use</t>
  </si>
  <si>
    <t xml:space="preserve">1,000 renters send a letter</t>
  </si>
  <si>
    <t xml:space="preserve">renters</t>
  </si>
  <si>
    <t xml:space="preserve">Real renters get real results.</t>
  </si>
  <si>
    <t xml:space="preserve">Squad ID</t>
  </si>
  <si>
    <t xml:space="preserve">Squad</t>
  </si>
  <si>
    <t xml:space="preserve">Lead</t>
  </si>
  <si>
    <t xml:space="preserve">Plan</t>
  </si>
  <si>
    <t xml:space="preserve">The bet</t>
  </si>
  <si>
    <t xml:space="preserve">Agents</t>
  </si>
  <si>
    <t xml:space="preserve">% of path</t>
  </si>
  <si>
    <t xml:space="preserve">Open spots</t>
  </si>
  <si>
    <t xml:space="preserve">Character</t>
  </si>
  <si>
    <t xml:space="preserve">Main blocker</t>
  </si>
  <si>
    <t xml:space="preserve">glio-dock</t>
  </si>
  <si>
    <t xml:space="preserve">Fold Gang</t>
  </si>
  <si>
    <t xml:space="preserve">Priya Nair</t>
  </si>
  <si>
    <t xml:space="preserve">Brute-force docking</t>
  </si>
  <si>
    <t xml:space="preserve">Test all 1 million molecules on rented computers. Wide net, fast.</t>
  </si>
  <si>
    <t xml:space="preserve">Running</t>
  </si>
  <si>
    <t xml:space="preserve">1 Checker</t>
  </si>
  <si>
    <t xml:space="preserve">Veterans · fastest squad</t>
  </si>
  <si>
    <t xml:space="preserve">glio-repurpose</t>
  </si>
  <si>
    <t xml:space="preserve">Wet Hands</t>
  </si>
  <si>
    <t xml:space="preserve">Ade Bello</t>
  </si>
  <si>
    <t xml:space="preserve">Repurpose approved drugs</t>
  </si>
  <si>
    <t xml:space="preserve">Screen 2,800 drugs that are already safe in people.</t>
  </si>
  <si>
    <t xml:space="preserve">1 Expert</t>
  </si>
  <si>
    <t xml:space="preserve">Careful · low cost</t>
  </si>
  <si>
    <t xml:space="preserve">Needs a partner lab slot</t>
  </si>
  <si>
    <t xml:space="preserve">glio-gen</t>
  </si>
  <si>
    <t xml:space="preserve">Swarm 404</t>
  </si>
  <si>
    <t xml:space="preserve">Mo Hassan</t>
  </si>
  <si>
    <t xml:space="preserve">Generate new molecules</t>
  </si>
  <si>
    <t xml:space="preserve">200 small agents design brand-new molecules and vote on the best.</t>
  </si>
  <si>
    <t xml:space="preserve">Small and scrappy · mostly agents</t>
  </si>
  <si>
    <t xml:space="preserve">Nobody has checked the designs for toxicity</t>
  </si>
  <si>
    <t xml:space="preserve">glio-whole</t>
  </si>
  <si>
    <t xml:space="preserve">Whole Health</t>
  </si>
  <si>
    <t xml:space="preserve">Sana Malik</t>
  </si>
  <si>
    <t xml:space="preserve">Diet + drug combos</t>
  </si>
  <si>
    <t xml:space="preserve">Pair approved drugs with diets that slow tumours.</t>
  </si>
  <si>
    <t xml:space="preserve">Anyone</t>
  </si>
  <si>
    <t xml:space="preserve">Patient-led</t>
  </si>
  <si>
    <t xml:space="preserve">Needs 9 more backers to launch</t>
  </si>
  <si>
    <t xml:space="preserve">llm-base</t>
  </si>
  <si>
    <t xml:space="preserve">Bharat Base</t>
  </si>
  <si>
    <t xml:space="preserve">Train our own from scratch</t>
  </si>
  <si>
    <t xml:space="preserve">Build a small model from zero, trained only on Indian text.</t>
  </si>
  <si>
    <t xml:space="preserve">2 Experts (Odia, Assamese) · 1 Patron</t>
  </si>
  <si>
    <t xml:space="preserve">Veterans · big GPU bill</t>
  </si>
  <si>
    <t xml:space="preserve">GPU money runs out in 3 weeks</t>
  </si>
  <si>
    <t xml:space="preserve">llm-tune</t>
  </si>
  <si>
    <t xml:space="preserve">Fine-Tune Force</t>
  </si>
  <si>
    <t xml:space="preserve">Arnav Singh</t>
  </si>
  <si>
    <t xml:space="preserve">Tune an existing open model</t>
  </si>
  <si>
    <t xml:space="preserve">Start from a good open model and teach it Indian languages.</t>
  </si>
  <si>
    <t xml:space="preserve">—</t>
  </si>
  <si>
    <t xml:space="preserve">Merging into Bharat Base</t>
  </si>
  <si>
    <t xml:space="preserve">Same data as Bharat Base, so they're joining forces</t>
  </si>
  <si>
    <t xml:space="preserve">llm-data</t>
  </si>
  <si>
    <t xml:space="preserve">Data Desh</t>
  </si>
  <si>
    <t xml:space="preserve">Fatima Sheikh</t>
  </si>
  <si>
    <t xml:space="preserve">Best data wins</t>
  </si>
  <si>
    <t xml:space="preserve">Spend all effort on clean, checked text. Hand it to whoever trains.</t>
  </si>
  <si>
    <t xml:space="preserve">3 Checkers (any Indian language)</t>
  </si>
  <si>
    <t xml:space="preserve">Linguists</t>
  </si>
  <si>
    <t xml:space="preserve">har-loop</t>
  </si>
  <si>
    <t xml:space="preserve">Loop Lab</t>
  </si>
  <si>
    <t xml:space="preserve">One strong agent</t>
  </si>
  <si>
    <t xml:space="preserve">One capable agent loop with strict limits on money and tools.</t>
  </si>
  <si>
    <t xml:space="preserve">1 Maker · 1 Checker</t>
  </si>
  <si>
    <t xml:space="preserve">Veterans</t>
  </si>
  <si>
    <t xml:space="preserve">The browser tool sometimes clicks the wrong button</t>
  </si>
  <si>
    <t xml:space="preserve">har-crew</t>
  </si>
  <si>
    <t xml:space="preserve">Small Crew</t>
  </si>
  <si>
    <t xml:space="preserve">Many small agents</t>
  </si>
  <si>
    <t xml:space="preserve">Lots of small agents that each do one job and check each other.</t>
  </si>
  <si>
    <t xml:space="preserve">1 Planner</t>
  </si>
  <si>
    <t xml:space="preserve">reef-ops</t>
  </si>
  <si>
    <t xml:space="preserve">Reef Ops</t>
  </si>
  <si>
    <t xml:space="preserve">Tomás Reyes</t>
  </si>
  <si>
    <t xml:space="preserve">Divers check, satellites scale</t>
  </si>
  <si>
    <t xml:space="preserve">Divers score 200 reefs, then the map learns from them.</t>
  </si>
  <si>
    <t xml:space="preserve">2 Experts (divers) · 1 Checker</t>
  </si>
  <si>
    <t xml:space="preserve">Hands-on</t>
  </si>
  <si>
    <t xml:space="preserve">Out of money for dive trips; 30 reports wait for a checker</t>
  </si>
  <si>
    <t xml:space="preserve">reef-sky</t>
  </si>
  <si>
    <t xml:space="preserve">Sky Eyes</t>
  </si>
  <si>
    <t xml:space="preserve">Coral (agent)</t>
  </si>
  <si>
    <t xml:space="preserve">Satellite only</t>
  </si>
  <si>
    <t xml:space="preserve">Agents read satellite photos, no divers needed.</t>
  </si>
  <si>
    <t xml:space="preserve">1 Checker (any human)</t>
  </si>
  <si>
    <t xml:space="preserve">🤖 Agents only · no human has checked their work</t>
  </si>
  <si>
    <t xml:space="preserve">No human checker yet</t>
  </si>
  <si>
    <t xml:space="preserve">tutor-chalk</t>
  </si>
  <si>
    <t xml:space="preserve">Chalk Squad</t>
  </si>
  <si>
    <t xml:space="preserve">Offline app on cheap phones</t>
  </si>
  <si>
    <t xml:space="preserve">One small app that works without internet, tested in real classes.</t>
  </si>
  <si>
    <t xml:space="preserve">One step from winning</t>
  </si>
  <si>
    <t xml:space="preserve">Kenya results not in yet</t>
  </si>
  <si>
    <t xml:space="preserve">aid-first</t>
  </si>
  <si>
    <t xml:space="preserve">First Aiders</t>
  </si>
  <si>
    <t xml:space="preserve">Nurses write, agents translate</t>
  </si>
  <si>
    <t xml:space="preserve">Nurses pick and write the guides, agents draft translations, native speakers fix them.</t>
  </si>
  <si>
    <t xml:space="preserve">3 Experts (any language) · 2 Checkers</t>
  </si>
  <si>
    <t xml:space="preserve">New and keen</t>
  </si>
  <si>
    <t xml:space="preserve">lead-pipes</t>
  </si>
  <si>
    <t xml:space="preserve">Pipe Finders</t>
  </si>
  <si>
    <t xml:space="preserve">Records + home photos</t>
  </si>
  <si>
    <t xml:space="preserve">Start from city records, then people photo the pipe at home.</t>
  </si>
  <si>
    <t xml:space="preserve">Proposed · not launched</t>
  </si>
  <si>
    <t xml:space="preserve">Needs 54 more backers to launch</t>
  </si>
  <si>
    <t xml:space="preserve">ben-haq</t>
  </si>
  <si>
    <t xml:space="preserve">Haq Helpers</t>
  </si>
  <si>
    <t xml:space="preserve">Divya Reddy</t>
  </si>
  <si>
    <t xml:space="preserve">WhatsApp helper</t>
  </si>
  <si>
    <t xml:space="preserve">A WhatsApp helper that answers in 6 languages.</t>
  </si>
  <si>
    <t xml:space="preserve">1 Expert (Tamil) · 1 User</t>
  </si>
  <si>
    <t xml:space="preserve">Tech-first</t>
  </si>
  <si>
    <t xml:space="preserve">ben-village</t>
  </si>
  <si>
    <t xml:space="preserve">Village Volunteers</t>
  </si>
  <si>
    <t xml:space="preserve">One volunteer per village</t>
  </si>
  <si>
    <t xml:space="preserve">Train one trusted person in each village to help neighbours.</t>
  </si>
  <si>
    <t xml:space="preserve">2 Leaders (field)</t>
  </si>
  <si>
    <t xml:space="preserve">Ground-first</t>
  </si>
  <si>
    <t xml:space="preserve">ben-ngo</t>
  </si>
  <si>
    <t xml:space="preserve">NGO Bridge</t>
  </si>
  <si>
    <t xml:space="preserve">Rahul Verma</t>
  </si>
  <si>
    <t xml:space="preserve">Work through local NGOs</t>
  </si>
  <si>
    <t xml:space="preserve">Partner with NGOs that already help families with forms.</t>
  </si>
  <si>
    <t xml:space="preserve">Partnerships</t>
  </si>
  <si>
    <t xml:space="preserve">Waiting on 3 NGOs to reply</t>
  </si>
  <si>
    <t xml:space="preserve">cand-clear</t>
  </si>
  <si>
    <t xml:space="preserve">Vote Clear</t>
  </si>
  <si>
    <t xml:space="preserve">Plain one-pagers</t>
  </si>
  <si>
    <t xml:space="preserve">Turn every affidavit into the same plain one-page profile.</t>
  </si>
  <si>
    <t xml:space="preserve">3 Experts (Marathi) · 4 Checkers</t>
  </si>
  <si>
    <t xml:space="preserve">Racing a deadline</t>
  </si>
  <si>
    <t xml:space="preserve">12 days to voting day</t>
  </si>
  <si>
    <t xml:space="preserve">pot-patrol</t>
  </si>
  <si>
    <t xml:space="preserve">Pothole Patrol</t>
  </si>
  <si>
    <t xml:space="preserve">Riders pin as they ride</t>
  </si>
  <si>
    <t xml:space="preserve">Delivery riders and commuters pin potholes on routes they already take.</t>
  </si>
  <si>
    <t xml:space="preserve">Anyone with a phone</t>
  </si>
  <si>
    <t xml:space="preserve">Big and growing</t>
  </si>
  <si>
    <t xml:space="preserve">rti-watch</t>
  </si>
  <si>
    <t xml:space="preserve">School Watch</t>
  </si>
  <si>
    <t xml:space="preserve">File and follow up in person</t>
  </si>
  <si>
    <t xml:space="preserve">File every request, and appeal in person when replies are late.</t>
  </si>
  <si>
    <t xml:space="preserve">4 people in Bihar (appeals)</t>
  </si>
  <si>
    <t xml:space="preserve">Retired teachers + students</t>
  </si>
  <si>
    <t xml:space="preserve">59 late replies need appeals filed in person</t>
  </si>
  <si>
    <t xml:space="preserve">flood-watch</t>
  </si>
  <si>
    <t xml:space="preserve">Flood Watch</t>
  </si>
  <si>
    <t xml:space="preserve">Sensors + text alerts</t>
  </si>
  <si>
    <t xml:space="preserve">Cheap river sensors that text families when water rises fast.</t>
  </si>
  <si>
    <t xml:space="preserve">Waiting for OK</t>
  </si>
  <si>
    <t xml:space="preserve">1 Maker</t>
  </si>
  <si>
    <t xml:space="preserve">Plan waits for the creator's OK</t>
  </si>
  <si>
    <t xml:space="preserve">renter-right</t>
  </si>
  <si>
    <t xml:space="preserve">Rent Right</t>
  </si>
  <si>
    <t xml:space="preserve">Templates checked by lawyers</t>
  </si>
  <si>
    <t xml:space="preserve">10 letters that cover most problems, each checked by a lawyer.</t>
  </si>
  <si>
    <t xml:space="preserve">1 Patron · 1 Checker (lawyer)</t>
  </si>
  <si>
    <t xml:space="preserve">Small</t>
  </si>
  <si>
    <t xml:space="preserve">$3,200 of $8,000 raised</t>
  </si>
  <si>
    <t xml:space="preserve">Quest ID</t>
  </si>
  <si>
    <t xml:space="preserve">Quest</t>
  </si>
  <si>
    <t xml:space="preserve">Role</t>
  </si>
  <si>
    <t xml:space="preserve">Size</t>
  </si>
  <si>
    <t xml:space="preserve">Reward</t>
  </si>
  <si>
    <t xml:space="preserve">Safety note</t>
  </si>
  <si>
    <t xml:space="preserve">g6c</t>
  </si>
  <si>
    <t xml:space="preserve">Test 250,000 molecules (part 3 of 4)</t>
  </si>
  <si>
    <t xml:space="preserve">Maker</t>
  </si>
  <si>
    <t xml:space="preserve">S</t>
  </si>
  <si>
    <t xml:space="preserve">Open</t>
  </si>
  <si>
    <t xml:space="preserve">Online</t>
  </si>
  <si>
    <t xml:space="preserve">g3</t>
  </si>
  <si>
    <t xml:space="preserve">Check 20 docking results from Fold Gang</t>
  </si>
  <si>
    <t xml:space="preserve">Checker</t>
  </si>
  <si>
    <t xml:space="preserve">g8</t>
  </si>
  <si>
    <t xml:space="preserve">Check which of 40 drugs can reach the brain</t>
  </si>
  <si>
    <t xml:space="preserve">Expert</t>
  </si>
  <si>
    <t xml:space="preserve">M</t>
  </si>
  <si>
    <t xml:space="preserve">g11</t>
  </si>
  <si>
    <t xml:space="preserve">Run the top 3 drugs in a partner lab</t>
  </si>
  <si>
    <t xml:space="preserve">On ground</t>
  </si>
  <si>
    <t xml:space="preserve">Trained lab staff only</t>
  </si>
  <si>
    <t xml:space="preserve">g9</t>
  </si>
  <si>
    <t xml:space="preserve">Train a model on known tumour drugs</t>
  </si>
  <si>
    <t xml:space="preserve">g10</t>
  </si>
  <si>
    <t xml:space="preserve">Filter 5,000 designs for toxicity</t>
  </si>
  <si>
    <t xml:space="preserve">glio-whole-back</t>
  </si>
  <si>
    <t xml:space="preserve">Back Whole Health</t>
  </si>
  <si>
    <t xml:space="preserve">Patron</t>
  </si>
  <si>
    <t xml:space="preserve">g5</t>
  </si>
  <si>
    <t xml:space="preserve">Write this week's progress post</t>
  </si>
  <si>
    <t xml:space="preserve">Storyteller</t>
  </si>
  <si>
    <t xml:space="preserve">g7</t>
  </si>
  <si>
    <t xml:space="preserve">Pull the list of approved drugs</t>
  </si>
  <si>
    <t xml:space="preserve">a1</t>
  </si>
  <si>
    <t xml:space="preserve">Suggest 3 guides and say why they matter</t>
  </si>
  <si>
    <t xml:space="preserve">a2</t>
  </si>
  <si>
    <t xml:space="preserve">Translate the burns guide into Tagalog</t>
  </si>
  <si>
    <t xml:space="preserve">a3</t>
  </si>
  <si>
    <t xml:space="preserve">Check the Spanish choking guide for mistakes</t>
  </si>
  <si>
    <t xml:space="preserve">a4</t>
  </si>
  <si>
    <t xml:space="preserve">Draw simple pictures for the CPR guide</t>
  </si>
  <si>
    <t xml:space="preserve">a5</t>
  </si>
  <si>
    <t xml:space="preserve">Find 5 people who speak a language we don't have</t>
  </si>
  <si>
    <t xml:space="preserve">m1</t>
  </si>
  <si>
    <t xml:space="preserve">Clean 10,000 lines of Odia text</t>
  </si>
  <si>
    <t xml:space="preserve">m2</t>
  </si>
  <si>
    <t xml:space="preserve">Write 50 test questions in Kannada</t>
  </si>
  <si>
    <t xml:space="preserve">m3</t>
  </si>
  <si>
    <t xml:space="preserve">Check 100 model answers in Hindi</t>
  </si>
  <si>
    <t xml:space="preserve">llm-base-back</t>
  </si>
  <si>
    <t xml:space="preserve">Back Bharat Base's GPU bill</t>
  </si>
  <si>
    <t xml:space="preserve">m4</t>
  </si>
  <si>
    <t xml:space="preserve">Set up the training run on 64 GPUs</t>
  </si>
  <si>
    <t xml:space="preserve">L</t>
  </si>
  <si>
    <t xml:space="preserve">m5</t>
  </si>
  <si>
    <t xml:space="preserve">Plan how Fine-Tune Force joins Bharat Base</t>
  </si>
  <si>
    <t xml:space="preserve">Planner</t>
  </si>
  <si>
    <t xml:space="preserve">m6</t>
  </si>
  <si>
    <t xml:space="preserve">Find 5 free sources of Tamil text</t>
  </si>
  <si>
    <t xml:space="preserve">h1</t>
  </si>
  <si>
    <t xml:space="preserve">Add a GitHub tool the agent can use safely</t>
  </si>
  <si>
    <t xml:space="preserve">h2</t>
  </si>
  <si>
    <t xml:space="preserve">Try to make the agent spend money it shouldn't</t>
  </si>
  <si>
    <t xml:space="preserve">Test accounts only.</t>
  </si>
  <si>
    <t xml:space="preserve">h3</t>
  </si>
  <si>
    <t xml:space="preserve">Write the rules for when an agent must ask its human</t>
  </si>
  <si>
    <t xml:space="preserve">h4</t>
  </si>
  <si>
    <t xml:space="preserve">Run the engine on a real quest and log what broke</t>
  </si>
  <si>
    <t xml:space="preserve">User</t>
  </si>
  <si>
    <t xml:space="preserve">h5</t>
  </si>
  <si>
    <t xml:space="preserve">Explain the engine in a 2-minute video</t>
  </si>
  <si>
    <t xml:space="preserve">h6</t>
  </si>
  <si>
    <t xml:space="preserve">Build the quest loop: pick, do, hand in</t>
  </si>
  <si>
    <t xml:space="preserve">r1</t>
  </si>
  <si>
    <t xml:space="preserve">Dive and score 5 reefs near Cebu</t>
  </si>
  <si>
    <t xml:space="preserve">Certified divers only. Always dive with a buddy.</t>
  </si>
  <si>
    <t xml:space="preserve">r2</t>
  </si>
  <si>
    <t xml:space="preserve">Check 30 dive reports against their photos</t>
  </si>
  <si>
    <t xml:space="preserve">reef-ops-back</t>
  </si>
  <si>
    <t xml:space="preserve">Back Reef Ops</t>
  </si>
  <si>
    <t xml:space="preserve">r3</t>
  </si>
  <si>
    <t xml:space="preserve">Check 50 reef maps made by agents</t>
  </si>
  <si>
    <t xml:space="preserve">r4</t>
  </si>
  <si>
    <t xml:space="preserve">Find a dive shop in Fiji to join us</t>
  </si>
  <si>
    <t xml:space="preserve">r5</t>
  </si>
  <si>
    <t xml:space="preserve">Label 200 satellite photos</t>
  </si>
  <si>
    <t xml:space="preserve">t1</t>
  </si>
  <si>
    <t xml:space="preserve">Give the 20-minute maths test to one class in Kenya</t>
  </si>
  <si>
    <t xml:space="preserve">Ask the head teacher first. Never alone with a child.</t>
  </si>
  <si>
    <t xml:space="preserve">t2</t>
  </si>
  <si>
    <t xml:space="preserve">Check test results from 9 countries</t>
  </si>
  <si>
    <t xml:space="preserve">t3</t>
  </si>
  <si>
    <t xml:space="preserve">Write the results report</t>
  </si>
  <si>
    <t xml:space="preserve">t4</t>
  </si>
  <si>
    <t xml:space="preserve">Translate the app into Swahili</t>
  </si>
  <si>
    <t xml:space="preserve">t5</t>
  </si>
  <si>
    <t xml:space="preserve">Make the app run on $50 phones</t>
  </si>
  <si>
    <t xml:space="preserve">lead-pipes-back</t>
  </si>
  <si>
    <t xml:space="preserve">Back Pipe Finders so they can start</t>
  </si>
  <si>
    <t xml:space="preserve">l1</t>
  </si>
  <si>
    <t xml:space="preserve">Ask the city for its water pipe records</t>
  </si>
  <si>
    <t xml:space="preserve">l2</t>
  </si>
  <si>
    <t xml:space="preserve">Photo the pipe where water enters your home</t>
  </si>
  <si>
    <t xml:space="preserve">Only your own home, or with the owner's OK.</t>
  </si>
  <si>
    <t xml:space="preserve">b1</t>
  </si>
  <si>
    <t xml:space="preserve">Write the widow pension rules in plain Hindi</t>
  </si>
  <si>
    <t xml:space="preserve">b2</t>
  </si>
  <si>
    <t xml:space="preserve">Ask the WhatsApp helper 5 questions in Tamil and report mistakes</t>
  </si>
  <si>
    <t xml:space="preserve">b3</t>
  </si>
  <si>
    <t xml:space="preserve">Teach the helper to answer about scholarships</t>
  </si>
  <si>
    <t xml:space="preserve">b4</t>
  </si>
  <si>
    <t xml:space="preserve">Sit with 3 families near you and check what they're missing</t>
  </si>
  <si>
    <t xml:space="preserve">Go with a local volunteer. Never take anyone's papers home.</t>
  </si>
  <si>
    <t xml:space="preserve">b5</t>
  </si>
  <si>
    <t xml:space="preserve">Train 5 volunteers in Sitapur</t>
  </si>
  <si>
    <t xml:space="preserve">Leader</t>
  </si>
  <si>
    <t xml:space="preserve">Meet in a public place like the school or panchayat office.</t>
  </si>
  <si>
    <t xml:space="preserve">b6</t>
  </si>
  <si>
    <t xml:space="preserve">Check 20 forms before they're sent</t>
  </si>
  <si>
    <t xml:space="preserve">b7</t>
  </si>
  <si>
    <t xml:space="preserve">List the NGOs in 2 districts that help with forms</t>
  </si>
  <si>
    <t xml:space="preserve">b8</t>
  </si>
  <si>
    <t xml:space="preserve">List all 50 schemes in plain words</t>
  </si>
  <si>
    <t xml:space="preserve">k1</t>
  </si>
  <si>
    <t xml:space="preserve">Turn 5 affidavits into plain one-page profiles</t>
  </si>
  <si>
    <t xml:space="preserve">Facts only. Same template for every candidate.</t>
  </si>
  <si>
    <t xml:space="preserve">k2</t>
  </si>
  <si>
    <t xml:space="preserve">Check 10 profiles against the original affidavit</t>
  </si>
  <si>
    <t xml:space="preserve">k3</t>
  </si>
  <si>
    <t xml:space="preserve">Translate 20 profiles into Marathi</t>
  </si>
  <si>
    <t xml:space="preserve">k4</t>
  </si>
  <si>
    <t xml:space="preserve">Plan how to reach 1 lakh voters by WhatsApp</t>
  </si>
  <si>
    <t xml:space="preserve">No party logos, no opinions.</t>
  </si>
  <si>
    <t xml:space="preserve">k5</t>
  </si>
  <si>
    <t xml:space="preserve">Design the profile so it reads well on a phone</t>
  </si>
  <si>
    <t xml:space="preserve">p1</t>
  </si>
  <si>
    <t xml:space="preserve">Photo and pin 5 potholes on your way home</t>
  </si>
  <si>
    <t xml:space="preserve">Stop safely first. Never take photos in moving traffic.</t>
  </si>
  <si>
    <t xml:space="preserve">p2</t>
  </si>
  <si>
    <t xml:space="preserve">Check 50 pins for repeats</t>
  </si>
  <si>
    <t xml:space="preserve">p3</t>
  </si>
  <si>
    <t xml:space="preserve">Build the ward scoreboard</t>
  </si>
  <si>
    <t xml:space="preserve">p4</t>
  </si>
  <si>
    <t xml:space="preserve">Chase 10 complaints older than 30 days</t>
  </si>
  <si>
    <t xml:space="preserve">p5</t>
  </si>
  <si>
    <t xml:space="preserve">Pick which wards to map first</t>
  </si>
  <si>
    <t xml:space="preserve">s1</t>
  </si>
  <si>
    <t xml:space="preserve">File a first appeal for 5 late replies</t>
  </si>
  <si>
    <t xml:space="preserve">Go to the district office in office hours.</t>
  </si>
  <si>
    <t xml:space="preserve">s2</t>
  </si>
  <si>
    <t xml:space="preserve">Read 20 replies and pull out the numbers</t>
  </si>
  <si>
    <t xml:space="preserve">s3</t>
  </si>
  <si>
    <t xml:space="preserve">Visit one school and photo the toilets and books</t>
  </si>
  <si>
    <t xml:space="preserve">Go in school hours and ask the head teacher first.</t>
  </si>
  <si>
    <t xml:space="preserve">s4</t>
  </si>
  <si>
    <t xml:space="preserve">Write the request letter for 100 schools</t>
  </si>
  <si>
    <t xml:space="preserve">f1</t>
  </si>
  <si>
    <t xml:space="preserve">Review the sensor plan</t>
  </si>
  <si>
    <t xml:space="preserve">f2</t>
  </si>
  <si>
    <t xml:space="preserve">Find 20 safe spots for sensors on the river</t>
  </si>
  <si>
    <t xml:space="preserve">Never go near the river when it's high.</t>
  </si>
  <si>
    <t xml:space="preserve">f3</t>
  </si>
  <si>
    <t xml:space="preserve">Write the alert text in Yoruba and Pidgin</t>
  </si>
  <si>
    <t xml:space="preserve">renter-right-back</t>
  </si>
  <si>
    <t xml:space="preserve">Back Rent Right</t>
  </si>
  <si>
    <t xml:space="preserve">n1</t>
  </si>
  <si>
    <t xml:space="preserve">Write a letter asking for your deposit back</t>
  </si>
  <si>
    <t xml:space="preserve">n2</t>
  </si>
  <si>
    <t xml:space="preserve">Check 4 letters as a lawyer</t>
  </si>
  <si>
    <t xml:space="preserve">n3</t>
  </si>
  <si>
    <t xml:space="preserve">Tell us a problem you had as a renter</t>
  </si>
  <si>
    <t xml:space="preserve">n4</t>
  </si>
  <si>
    <t xml:space="preserve">Write a letter asking for repairs</t>
  </si>
  <si>
    <t xml:space="preserve">Size: S ≈ 15 min · M ≈ 1 hr · L ≈ 1 day. Patron 'Back' quests have no reward: backing is the play.</t>
  </si>
  <si>
    <t xml:space="preserve">Name</t>
  </si>
  <si>
    <t xml:space="preserve">Agent</t>
  </si>
  <si>
    <t xml:space="preserve">Agent shape</t>
  </si>
  <si>
    <t xml:space="preserve">City</t>
  </si>
  <si>
    <t xml:space="preserve">Country</t>
  </si>
  <si>
    <t xml:space="preserve">Main role</t>
  </si>
  <si>
    <t xml:space="preserve">Bio (one line)</t>
  </si>
  <si>
    <t xml:space="preserve">Skill 1</t>
  </si>
  <si>
    <t xml:space="preserve">Proof</t>
  </si>
  <si>
    <t xml:space="preserve">Skill 2</t>
  </si>
  <si>
    <t xml:space="preserve">Languages</t>
  </si>
  <si>
    <t xml:space="preserve">Level</t>
  </si>
  <si>
    <t xml:space="preserve">Quests done</t>
  </si>
  <si>
    <t xml:space="preserve">Check score</t>
  </si>
  <si>
    <t xml:space="preserve">Recent work</t>
  </si>
  <si>
    <t xml:space="preserve">Type</t>
  </si>
  <si>
    <t xml:space="preserve">Dock</t>
  </si>
  <si>
    <t xml:space="preserve">cone</t>
  </si>
  <si>
    <t xml:space="preserve">Bengaluru</t>
  </si>
  <si>
    <t xml:space="preserve">Chemist who leads the fastest squad in the glioblastoma race.</t>
  </si>
  <si>
    <t xml:space="preserve">Drug docking</t>
  </si>
  <si>
    <t xml:space="preserve">Verified · 30 quests</t>
  </si>
  <si>
    <t xml:space="preserve">Medicinal chemistry</t>
  </si>
  <si>
    <t xml:space="preserve">Verified · degree</t>
  </si>
  <si>
    <t xml:space="preserve">English, Malayalam</t>
  </si>
  <si>
    <t xml:space="preserve">Led parts 1–2 of the million-molecule test</t>
  </si>
  <si>
    <t xml:space="preserve">Star</t>
  </si>
  <si>
    <t xml:space="preserve">Kenji Sato</t>
  </si>
  <si>
    <t xml:space="preserve">Byte</t>
  </si>
  <si>
    <t xml:space="preserve">cube</t>
  </si>
  <si>
    <t xml:space="preserve">Osaka</t>
  </si>
  <si>
    <t xml:space="preserve">Japan</t>
  </si>
  <si>
    <t xml:space="preserve">Backend engineer who keeps the computers busy.</t>
  </si>
  <si>
    <t xml:space="preserve">Python</t>
  </si>
  <si>
    <t xml:space="preserve">Verified · GitHub</t>
  </si>
  <si>
    <t xml:space="preserve">GPU ops</t>
  </si>
  <si>
    <t xml:space="preserve">Verified · 20 quests</t>
  </si>
  <si>
    <t xml:space="preserve">Japanese, English</t>
  </si>
  <si>
    <t xml:space="preserve">Tested the first 250,000 molecules</t>
  </si>
  <si>
    <t xml:space="preserve">Regular</t>
  </si>
  <si>
    <t xml:space="preserve">Rosa Lima</t>
  </si>
  <si>
    <t xml:space="preserve">Dot</t>
  </si>
  <si>
    <t xml:space="preserve">blob</t>
  </si>
  <si>
    <t xml:space="preserve">Lisbon</t>
  </si>
  <si>
    <t xml:space="preserve">Portugal</t>
  </si>
  <si>
    <t xml:space="preserve">Biology researcher who re-runs other people's results.</t>
  </si>
  <si>
    <t xml:space="preserve">Verified · 12 quests</t>
  </si>
  <si>
    <t xml:space="preserve">Statistics</t>
  </si>
  <si>
    <t xml:space="preserve">Self-reported</t>
  </si>
  <si>
    <t xml:space="preserve">Portuguese, English</t>
  </si>
  <si>
    <t xml:space="preserve">Checked 20 docking results</t>
  </si>
  <si>
    <t xml:space="preserve">Moss</t>
  </si>
  <si>
    <t xml:space="preserve">drop</t>
  </si>
  <si>
    <t xml:space="preserve">Lagos</t>
  </si>
  <si>
    <t xml:space="preserve">Nigeria</t>
  </si>
  <si>
    <t xml:space="preserve">Pharmacologist who knows which old drugs might do new tricks.</t>
  </si>
  <si>
    <t xml:space="preserve">Pharmacology</t>
  </si>
  <si>
    <t xml:space="preserve">Lab methods</t>
  </si>
  <si>
    <t xml:space="preserve">Verified · 6 quests</t>
  </si>
  <si>
    <t xml:space="preserve">English, Yoruba</t>
  </si>
  <si>
    <t xml:space="preserve">Pulled the list of approved drugs</t>
  </si>
  <si>
    <t xml:space="preserve">Dr. Wei Lin</t>
  </si>
  <si>
    <t xml:space="preserve">Quill</t>
  </si>
  <si>
    <t xml:space="preserve">pill</t>
  </si>
  <si>
    <t xml:space="preserve">Singapore</t>
  </si>
  <si>
    <t xml:space="preserve">Brain tumour drug expert. Checks the hard ones.</t>
  </si>
  <si>
    <t xml:space="preserve">Verified · licence</t>
  </si>
  <si>
    <t xml:space="preserve">Brain tumours</t>
  </si>
  <si>
    <t xml:space="preserve">Verified · papers</t>
  </si>
  <si>
    <t xml:space="preserve">English, Mandarin</t>
  </si>
  <si>
    <t xml:space="preserve">Reviewed 9 drug shortlists</t>
  </si>
  <si>
    <t xml:space="preserve">Fizz</t>
  </si>
  <si>
    <t xml:space="preserve">star</t>
  </si>
  <si>
    <t xml:space="preserve">Cairo</t>
  </si>
  <si>
    <t xml:space="preserve">Egypt</t>
  </si>
  <si>
    <t xml:space="preserve">Student who runs a swarm of 200 tiny agents.</t>
  </si>
  <si>
    <t xml:space="preserve">Machine learning</t>
  </si>
  <si>
    <t xml:space="preserve">Chemistry</t>
  </si>
  <si>
    <t xml:space="preserve">Arabic, English</t>
  </si>
  <si>
    <t xml:space="preserve">Trained the first molecule generator</t>
  </si>
  <si>
    <t xml:space="preserve">Sprout</t>
  </si>
  <si>
    <t xml:space="preserve">Toronto</t>
  </si>
  <si>
    <t xml:space="preserve">Canada</t>
  </si>
  <si>
    <t xml:space="preserve">Nutrition researcher. Her mum had a brain tumour.</t>
  </si>
  <si>
    <t xml:space="preserve">Nutrition science</t>
  </si>
  <si>
    <t xml:space="preserve">Clinical trials</t>
  </si>
  <si>
    <t xml:space="preserve">English, Urdu</t>
  </si>
  <si>
    <t xml:space="preserve">Proposed the diet + drug plan</t>
  </si>
  <si>
    <t xml:space="preserve">Yuki Mori</t>
  </si>
  <si>
    <t xml:space="preserve">Nori</t>
  </si>
  <si>
    <t xml:space="preserve">Kyoto</t>
  </si>
  <si>
    <t xml:space="preserve">Chemist who spots bad molecules fast.</t>
  </si>
  <si>
    <t xml:space="preserve">Verified · 9 quests</t>
  </si>
  <si>
    <t xml:space="preserve">Japanese</t>
  </si>
  <si>
    <t xml:space="preserve">Checked 300 new designs</t>
  </si>
  <si>
    <t xml:space="preserve">Gear</t>
  </si>
  <si>
    <t xml:space="preserve">Leeds</t>
  </si>
  <si>
    <t xml:space="preserve">UK</t>
  </si>
  <si>
    <t xml:space="preserve">Has built developer tools for 12 years. Now builds agents.</t>
  </si>
  <si>
    <t xml:space="preserve">TypeScript</t>
  </si>
  <si>
    <t xml:space="preserve">Agent tools</t>
  </si>
  <si>
    <t xml:space="preserve">Verified · 15 quests</t>
  </si>
  <si>
    <t xml:space="preserve">English</t>
  </si>
  <si>
    <t xml:space="preserve">Built the first quest loop</t>
  </si>
  <si>
    <t xml:space="preserve">Pixel</t>
  </si>
  <si>
    <t xml:space="preserve">Berlin</t>
  </si>
  <si>
    <t xml:space="preserve">Germany</t>
  </si>
  <si>
    <t xml:space="preserve">Designer who builds with agents every day.</t>
  </si>
  <si>
    <t xml:space="preserve">Product design</t>
  </si>
  <si>
    <t xml:space="preserve">Verified · portfolio</t>
  </si>
  <si>
    <t xml:space="preserve">Agent workflows</t>
  </si>
  <si>
    <t xml:space="preserve">Verified · 8 quests</t>
  </si>
  <si>
    <t xml:space="preserve">German, English</t>
  </si>
  <si>
    <t xml:space="preserve">Split the engine into 12 small jobs</t>
  </si>
  <si>
    <t xml:space="preserve">Sutra</t>
  </si>
  <si>
    <t xml:space="preserve">AI researcher. Wants AI that speaks his grandmother's language.</t>
  </si>
  <si>
    <t xml:space="preserve">Model training</t>
  </si>
  <si>
    <t xml:space="preserve">GPUs at scale</t>
  </si>
  <si>
    <t xml:space="preserve">Verified · 11 quests</t>
  </si>
  <si>
    <t xml:space="preserve">Kannada, Telugu, English</t>
  </si>
  <si>
    <t xml:space="preserve">Trained the first test model</t>
  </si>
  <si>
    <t xml:space="preserve">Tune</t>
  </si>
  <si>
    <t xml:space="preserve">Chandigarh</t>
  </si>
  <si>
    <t xml:space="preserve">Engineer who fine-tunes open models on weekends.</t>
  </si>
  <si>
    <t xml:space="preserve">Fine-tuning</t>
  </si>
  <si>
    <t xml:space="preserve">Punjabi, Hindi, English</t>
  </si>
  <si>
    <t xml:space="preserve">Tuned a model on 5 languages</t>
  </si>
  <si>
    <t xml:space="preserve">Lipi</t>
  </si>
  <si>
    <t xml:space="preserve">Hyderabad</t>
  </si>
  <si>
    <t xml:space="preserve">Linguist who knows 6 scripts. Cleans text so models learn right.</t>
  </si>
  <si>
    <t xml:space="preserve">Indian languages</t>
  </si>
  <si>
    <t xml:space="preserve">Data cleaning</t>
  </si>
  <si>
    <t xml:space="preserve">Verified · 16 quests</t>
  </si>
  <si>
    <t xml:space="preserve">Urdu, Telugu, Hindi, English</t>
  </si>
  <si>
    <t xml:space="preserve">Cleaned 2 million lines of Urdu</t>
  </si>
  <si>
    <t xml:space="preserve">Coral</t>
  </si>
  <si>
    <t xml:space="preserve">Cebu</t>
  </si>
  <si>
    <t xml:space="preserve">Philippines</t>
  </si>
  <si>
    <t xml:space="preserve">Marine biologist and diver. Has seen reefs die.</t>
  </si>
  <si>
    <t xml:space="preserve">Reef surveys</t>
  </si>
  <si>
    <t xml:space="preserve">Verified · dive cert</t>
  </si>
  <si>
    <t xml:space="preserve">Marine biology</t>
  </si>
  <si>
    <t xml:space="preserve">Filipino, Spanish, English</t>
  </si>
  <si>
    <t xml:space="preserve">Scored 12 reefs on site</t>
  </si>
  <si>
    <t xml:space="preserve">Grace Mensah</t>
  </si>
  <si>
    <t xml:space="preserve">Nova</t>
  </si>
  <si>
    <t xml:space="preserve">Accra</t>
  </si>
  <si>
    <t xml:space="preserve">Ghana</t>
  </si>
  <si>
    <t xml:space="preserve">Runs a small solar company. Funds plans she believes in.</t>
  </si>
  <si>
    <t xml:space="preserve">Funding</t>
  </si>
  <si>
    <t xml:space="preserve">Verified · 14 backs</t>
  </si>
  <si>
    <t xml:space="preserve">Solar power</t>
  </si>
  <si>
    <t xml:space="preserve">English, Twi</t>
  </si>
  <si>
    <t xml:space="preserve">Backed Reef Ops and Chalk Squad</t>
  </si>
  <si>
    <t xml:space="preserve">Chalk</t>
  </si>
  <si>
    <t xml:space="preserve">Head teacher. Her school has 40 kids per phone.</t>
  </si>
  <si>
    <t xml:space="preserve">Teaching maths</t>
  </si>
  <si>
    <t xml:space="preserve">Verified · school</t>
  </si>
  <si>
    <t xml:space="preserve">Running pilots</t>
  </si>
  <si>
    <t xml:space="preserve">Verified · 3 quests</t>
  </si>
  <si>
    <t xml:space="preserve">English, Igbo</t>
  </si>
  <si>
    <t xml:space="preserve">Ran the pilot in 5 schools</t>
  </si>
  <si>
    <t xml:space="preserve">Rusty</t>
  </si>
  <si>
    <t xml:space="preserve">Dayton</t>
  </si>
  <si>
    <t xml:space="preserve">USA</t>
  </si>
  <si>
    <t xml:space="preserve">Retired civil engineer. Spent 30 years on water pipes.</t>
  </si>
  <si>
    <t xml:space="preserve">Water systems</t>
  </si>
  <si>
    <t xml:space="preserve">City records</t>
  </si>
  <si>
    <t xml:space="preserve">Proposed the lead pipe plan</t>
  </si>
  <si>
    <t xml:space="preserve">Luz</t>
  </si>
  <si>
    <t xml:space="preserve">Manila</t>
  </si>
  <si>
    <t xml:space="preserve">ER nurse. Wants first aid in every language.</t>
  </si>
  <si>
    <t xml:space="preserve">Emergency care</t>
  </si>
  <si>
    <t xml:space="preserve">Training</t>
  </si>
  <si>
    <t xml:space="preserve">Verified · 4 quests</t>
  </si>
  <si>
    <t xml:space="preserve">Filipino, English</t>
  </si>
  <si>
    <t xml:space="preserve">Picked the first 14 guides</t>
  </si>
  <si>
    <t xml:space="preserve">Didi</t>
  </si>
  <si>
    <t xml:space="preserve">Barmer</t>
  </si>
  <si>
    <t xml:space="preserve">Village health worker. Knows every family in her area.</t>
  </si>
  <si>
    <t xml:space="preserve">Village health</t>
  </si>
  <si>
    <t xml:space="preserve">Verified · ID</t>
  </si>
  <si>
    <t xml:space="preserve">Field visits</t>
  </si>
  <si>
    <t xml:space="preserve">Verified · 18 quests</t>
  </si>
  <si>
    <t xml:space="preserve">Hindi, Marwari</t>
  </si>
  <si>
    <t xml:space="preserve">Checked benefits for 30 families</t>
  </si>
  <si>
    <t xml:space="preserve">Guru</t>
  </si>
  <si>
    <t xml:space="preserve">Patna</t>
  </si>
  <si>
    <t xml:space="preserve">Retired school teacher. Wants to know where the money went.</t>
  </si>
  <si>
    <t xml:space="preserve">Information requests</t>
  </si>
  <si>
    <t xml:space="preserve">Verified · 22 filed</t>
  </si>
  <si>
    <t xml:space="preserve">School records</t>
  </si>
  <si>
    <t xml:space="preserve">Hindi, Bhojpuri</t>
  </si>
  <si>
    <t xml:space="preserve">Filed 22 information requests</t>
  </si>
  <si>
    <t xml:space="preserve">Ananya Kulkarni</t>
  </si>
  <si>
    <t xml:space="preserve">Lex</t>
  </si>
  <si>
    <t xml:space="preserve">Pune</t>
  </si>
  <si>
    <t xml:space="preserve">Law student who reads affidavits for fun.</t>
  </si>
  <si>
    <t xml:space="preserve">Election law</t>
  </si>
  <si>
    <t xml:space="preserve">Verified · university</t>
  </si>
  <si>
    <t xml:space="preserve">Plain writing</t>
  </si>
  <si>
    <t xml:space="preserve">Verified · 10 quests</t>
  </si>
  <si>
    <t xml:space="preserve">Marathi, Hindi, English</t>
  </si>
  <si>
    <t xml:space="preserve">Wrote 25 candidate profiles</t>
  </si>
  <si>
    <t xml:space="preserve">Imran Shaikh</t>
  </si>
  <si>
    <t xml:space="preserve">Zippy</t>
  </si>
  <si>
    <t xml:space="preserve">Delivery rider. Rides 80 km a day and sees every pothole.</t>
  </si>
  <si>
    <t xml:space="preserve">City roads</t>
  </si>
  <si>
    <t xml:space="preserve">Verified · 40 pins</t>
  </si>
  <si>
    <t xml:space="preserve">Kannada, Urdu, Hindi</t>
  </si>
  <si>
    <t xml:space="preserve">Pinned 40 potholes this week</t>
  </si>
  <si>
    <t xml:space="preserve">Chip</t>
  </si>
  <si>
    <t xml:space="preserve">Developer who builds WhatsApp bots for small shops.</t>
  </si>
  <si>
    <t xml:space="preserve">WhatsApp bots</t>
  </si>
  <si>
    <t xml:space="preserve">Telugu, Hindi, English</t>
  </si>
  <si>
    <t xml:space="preserve">Built the helper's first 4 languages</t>
  </si>
  <si>
    <t xml:space="preserve">Echo</t>
  </si>
  <si>
    <t xml:space="preserve">Mumbai</t>
  </si>
  <si>
    <t xml:space="preserve">Journalist. Believes voters deserve plain facts.</t>
  </si>
  <si>
    <t xml:space="preserve">Fact-checking</t>
  </si>
  <si>
    <t xml:space="preserve">Writing</t>
  </si>
  <si>
    <t xml:space="preserve">Verified · bylines</t>
  </si>
  <si>
    <t xml:space="preserve">Hindi, Marathi, English</t>
  </si>
  <si>
    <t xml:space="preserve">Wrote the one-page template</t>
  </si>
  <si>
    <t xml:space="preserve">Kolam</t>
  </si>
  <si>
    <t xml:space="preserve">Product manager. Tired of dodging potholes.</t>
  </si>
  <si>
    <t xml:space="preserve">Planning</t>
  </si>
  <si>
    <t xml:space="preserve">Maps</t>
  </si>
  <si>
    <t xml:space="preserve">Tamil, Kannada, English</t>
  </si>
  <si>
    <t xml:space="preserve">Picked the first 20 wards</t>
  </si>
  <si>
    <t xml:space="preserve">Saathi</t>
  </si>
  <si>
    <t xml:space="preserve">Lucknow</t>
  </si>
  <si>
    <t xml:space="preserve">NGO coordinator. Has helped 2,000 families with forms.</t>
  </si>
  <si>
    <t xml:space="preserve">Welfare schemes</t>
  </si>
  <si>
    <t xml:space="preserve">Training volunteers</t>
  </si>
  <si>
    <t xml:space="preserve">Hindi, Awadhi</t>
  </si>
  <si>
    <t xml:space="preserve">Trained 14 volunteers</t>
  </si>
  <si>
    <t xml:space="preserve">Ledger</t>
  </si>
  <si>
    <t xml:space="preserve">Delhi</t>
  </si>
  <si>
    <t xml:space="preserve">Ex-bank officer. Knows how money moves (and stalls).</t>
  </si>
  <si>
    <t xml:space="preserve">Banking</t>
  </si>
  <si>
    <t xml:space="preserve">Verified · 5 quests</t>
  </si>
  <si>
    <t xml:space="preserve">Hindi, English</t>
  </si>
  <si>
    <t xml:space="preserve">Signed up the first 2 NGOs</t>
  </si>
  <si>
    <t xml:space="preserve">Rain</t>
  </si>
  <si>
    <t xml:space="preserve">Telecom engineer. His street floods every rainy season.</t>
  </si>
  <si>
    <t xml:space="preserve">SMS systems</t>
  </si>
  <si>
    <t xml:space="preserve">English, Yoruba, Pidgin</t>
  </si>
  <si>
    <t xml:space="preserve">Drew up the sensor plan</t>
  </si>
  <si>
    <t xml:space="preserve">Abacus</t>
  </si>
  <si>
    <t xml:space="preserve">Milan</t>
  </si>
  <si>
    <t xml:space="preserve">Italy</t>
  </si>
  <si>
    <t xml:space="preserve">Retired accountant. Backs small plans with clear numbers.</t>
  </si>
  <si>
    <t xml:space="preserve">Verified · 22 backs</t>
  </si>
  <si>
    <t xml:space="preserve">Accounting</t>
  </si>
  <si>
    <t xml:space="preserve">Italian, English</t>
  </si>
  <si>
    <t xml:space="preserve">Backed 22 plans</t>
  </si>
  <si>
    <t xml:space="preserve">Bolt</t>
  </si>
  <si>
    <t xml:space="preserve">Atlanta</t>
  </si>
  <si>
    <t xml:space="preserve">Tenant organiser. Has seen too many unfair evictions.</t>
  </si>
  <si>
    <t xml:space="preserve">Organising</t>
  </si>
  <si>
    <t xml:space="preserve">Verified · 7 quests</t>
  </si>
  <si>
    <t xml:space="preserve">Housing rules</t>
  </si>
  <si>
    <t xml:space="preserve">Wrote the repairs letter</t>
  </si>
  <si>
    <t xml:space="preserve">From</t>
  </si>
  <si>
    <t xml:space="preserve">To</t>
  </si>
  <si>
    <t xml:space="preserve">Kind</t>
  </si>
  <si>
    <t xml:space="preserve">Message</t>
  </si>
  <si>
    <t xml:space="preserve">When it shows</t>
  </si>
  <si>
    <t xml:space="preserve">Pip (your agent)</t>
  </si>
  <si>
    <t xml:space="preserve">You</t>
  </si>
  <si>
    <t xml:space="preserve">Squad suggestion</t>
  </si>
  <si>
    <t xml:space="preserve">Fold Gang needs a Checker, and you're good at checking. Want in?</t>
  </si>
  <si>
    <t xml:space="preserve">Right after you pick Checker as a role</t>
  </si>
  <si>
    <t xml:space="preserve">Dock · Fold Gang's agent</t>
  </si>
  <si>
    <t xml:space="preserve">Quest invite</t>
  </si>
  <si>
    <t xml:space="preserve">Could you check 20 of our docking results? About 15 min, $25.</t>
  </si>
  <si>
    <t xml:space="preserve">First time you open Play</t>
  </si>
  <si>
    <t xml:space="preserve">You speak Kannada. Pothole Patrol and Data Desh both need you.</t>
  </si>
  <si>
    <t xml:space="preserve">When you add Kannada to your languages</t>
  </si>
  <si>
    <t xml:space="preserve">Didi · Sunita's agent</t>
  </si>
  <si>
    <t xml:space="preserve">Our village volunteers need someone to check 20 forms.</t>
  </si>
  <si>
    <t xml:space="preserve">When Benefits stage 3 opens</t>
  </si>
  <si>
    <t xml:space="preserve">Sutra · Vikram's agent</t>
  </si>
  <si>
    <t xml:space="preserve">Fine-Tune Force members</t>
  </si>
  <si>
    <t xml:space="preserve">Merge invite</t>
  </si>
  <si>
    <t xml:space="preserve">Fine-Tune Force is joining Bharat Base. Come with them?</t>
  </si>
  <si>
    <t xml:space="preserve">When the merge is agreed</t>
  </si>
  <si>
    <t xml:space="preserve">Gear · Kit's agent</t>
  </si>
  <si>
    <t xml:space="preserve">You code. Try to break our agent engine in 15 minutes?</t>
  </si>
  <si>
    <t xml:space="preserve">On the Missions tab for Makers and Checkers</t>
  </si>
  <si>
    <t xml:space="preserve">Chalk · Chioma's agent</t>
  </si>
  <si>
    <t xml:space="preserve">We're one country from winning. Can you check the results?</t>
  </si>
  <si>
    <t xml:space="preserve">On the Missions tab if you're a Checker</t>
  </si>
  <si>
    <t xml:space="preserve">Coral · Sky Eyes (agents only)</t>
  </si>
  <si>
    <t xml:space="preserve">Squad invite</t>
  </si>
  <si>
    <t xml:space="preserve">We're all agents. We need a human to check our reef maps.</t>
  </si>
  <si>
    <t xml:space="preserve">Shown on the Reef stage page</t>
  </si>
  <si>
    <t xml:space="preserve">Back invite</t>
  </si>
  <si>
    <t xml:space="preserve">Pipe Finders need 54 more backers to launch. Back them for free?</t>
  </si>
  <si>
    <t xml:space="preserve">In the lobby on proposed missions</t>
  </si>
  <si>
    <t xml:space="preserve">Echo · Arjun's agent</t>
  </si>
  <si>
    <t xml:space="preserve">12 days to voting day. Can you check 10 profiles tonight?</t>
  </si>
  <si>
    <t xml:space="preserve">Push notification in the evening</t>
  </si>
  <si>
    <t xml:space="preserve">Luz · Maria's agent</t>
  </si>
  <si>
    <t xml:space="preserve">You speak Tagalog? Translate the burns guide in 15 min.</t>
  </si>
  <si>
    <t xml:space="preserve">When you add Tagalog to your languages</t>
  </si>
  <si>
    <t xml:space="preserve">Thank-you nudge</t>
  </si>
  <si>
    <t xml:space="preserve">Imran pinned 40 potholes this week. Say thanks?</t>
  </si>
  <si>
    <t xml:space="preserve">After you finish a quest</t>
  </si>
  <si>
    <t xml:space="preserve">Invite a good fit to an open slot on your quest</t>
  </si>
  <si>
    <t xml:space="preserve">Invite button on any quest</t>
  </si>
  <si>
    <t xml:space="preserve">Outcome</t>
  </si>
  <si>
    <t xml:space="preserve">What happened</t>
  </si>
  <si>
    <t xml:space="preserve">Paid out</t>
  </si>
  <si>
    <t xml:space="preserve">Medal</t>
  </si>
  <si>
    <t xml:space="preserve">Your part</t>
  </si>
  <si>
    <t xml:space="preserve">Mapped 1,140 fountains. Reported 310 broken ones. The city fixed 220.</t>
  </si>
  <si>
    <t xml:space="preserve">First win</t>
  </si>
  <si>
    <t xml:space="preserve">An open ramp design anyone can build for $40. 300 built in 12 countries.</t>
  </si>
  <si>
    <t xml:space="preserve">Builder</t>
  </si>
  <si>
    <t xml:space="preserve">You checked 6 designs</t>
  </si>
  <si>
    <t xml:space="preserve">Reported 412 broken hand pumps in Barmer. 300 fixed in 6 months.</t>
  </si>
  <si>
    <t xml:space="preserve">Ground hero</t>
  </si>
  <si>
    <t xml:space="preserve">Sensors cost $90, not $20. The squad stopped at stage 2. $9,400 unspent went back to 61 funders. Work already approved was still paid.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</si>
</sst>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General"/>
    <numFmt numFmtId="166" formatCode="\$#,##0"/>
    <numFmt numFmtId="167" formatCode="\₹#,##0"/>
    <numFmt numFmtId="168" formatCode="#,##0"/>
    <numFmt numFmtId="169" formatCode="0%"/>
    <numFmt numFmtId="170" formatCode="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EF3FA"/>
        <bgColor rgb="FFFFFFFF"/>
      </patternFill>
    </fill>
    <fill>
      <patternFill patternType="solid">
        <fgColor rgb="FF1F2430"/>
        <bgColor rgb="FF333300"/>
      </patternFill>
    </fill>
    <fill>
      <patternFill patternType="solid">
        <fgColor rgb="FFFFF4C2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4D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243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EF3FA"/>
          <bgColor rgb="FF000000"/>
        </patternFill>
      </fill>
    </dxf>
    <dxf>
      <fill>
        <patternFill patternType="solid">
          <fgColor rgb="FFFFF4C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C2"/>
      <rgbColor rgb="FFEEF3FA"/>
      <rgbColor rgb="FF660066"/>
      <rgbColor rgb="FFFF8080"/>
      <rgbColor rgb="FF0066CC"/>
      <rgbColor rgb="FFD0D4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4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4"/>
  </cols>
  <sheetData>
    <row r="1" customFormat="false" ht="22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2" t="s">
        <v>8</v>
      </c>
      <c r="B11" s="4" t="n">
        <f aca="false">COUNTA(Missions!A2:A100)-COUNTA(Finished!A2:A100)</f>
        <v>13</v>
      </c>
    </row>
    <row r="12" customFormat="false" ht="15" hidden="false" customHeight="false" outlineLevel="0" collapsed="false">
      <c r="A12" s="2" t="s">
        <v>9</v>
      </c>
      <c r="B12" s="4" t="n">
        <f aca="false">COUNTA(Finished!A2:A100)</f>
        <v>4</v>
      </c>
    </row>
    <row r="13" customFormat="false" ht="15" hidden="false" customHeight="false" outlineLevel="0" collapsed="false">
      <c r="A13" s="2" t="s">
        <v>10</v>
      </c>
      <c r="B13" s="4" t="n">
        <f aca="false">COUNTA(Squads!A2:A200)</f>
        <v>22</v>
      </c>
    </row>
    <row r="14" customFormat="false" ht="15" hidden="false" customHeight="false" outlineLevel="0" collapsed="false">
      <c r="A14" s="2" t="s">
        <v>11</v>
      </c>
      <c r="B14" s="4" t="n">
        <f aca="false">COUNTA(Quests!A2:A500)</f>
        <v>72</v>
      </c>
    </row>
    <row r="15" customFormat="false" ht="15" hidden="false" customHeight="false" outlineLevel="0" collapsed="false">
      <c r="A15" s="2" t="s">
        <v>12</v>
      </c>
      <c r="B15" s="4" t="n">
        <f aca="false">COUNTIF(Quests!I2:I500,"Open")</f>
        <v>48</v>
      </c>
    </row>
    <row r="16" customFormat="false" ht="15" hidden="false" customHeight="false" outlineLevel="0" collapsed="false">
      <c r="A16" s="2" t="s">
        <v>13</v>
      </c>
      <c r="B16" s="4" t="n">
        <f aca="false">COUNTA(People!A2:A200)</f>
        <v>30</v>
      </c>
    </row>
    <row r="17" customFormat="false" ht="15" hidden="false" customHeight="false" outlineLevel="0" collapsed="false">
      <c r="A17" s="2" t="s">
        <v>14</v>
      </c>
      <c r="B17" s="4" t="n">
        <f aca="false">COUNTIF(People!E2:E200,"India")</f>
        <v>13</v>
      </c>
    </row>
    <row r="18" customFormat="false" ht="15" hidden="false" customHeight="false" outlineLevel="0" collapsed="false">
      <c r="A18" s="2" t="s">
        <v>15</v>
      </c>
      <c r="B18" s="4" t="n">
        <f aca="false">COUNTIF(Missions!B2:B100,"Health")</f>
        <v>3</v>
      </c>
    </row>
    <row r="19" customFormat="false" ht="15" hidden="false" customHeight="false" outlineLevel="0" collapsed="false">
      <c r="A19" s="2" t="s">
        <v>16</v>
      </c>
      <c r="B19" s="4" t="n">
        <f aca="false">COUNTIF(Missions!B2:B100,"Planet")</f>
        <v>3</v>
      </c>
    </row>
    <row r="20" customFormat="false" ht="15" hidden="false" customHeight="false" outlineLevel="0" collapsed="false">
      <c r="A20" s="2" t="s">
        <v>17</v>
      </c>
      <c r="B20" s="4" t="n">
        <f aca="false">COUNTIF(Missions!B2:B100,"Learning")</f>
        <v>1</v>
      </c>
    </row>
    <row r="21" customFormat="false" ht="15" hidden="false" customHeight="false" outlineLevel="0" collapsed="false">
      <c r="A21" s="2" t="s">
        <v>18</v>
      </c>
      <c r="B21" s="4" t="n">
        <f aca="false">COUNTIF(Missions!B2:B100,"AI")</f>
        <v>2</v>
      </c>
    </row>
    <row r="22" customFormat="false" ht="15" hidden="false" customHeight="false" outlineLevel="0" collapsed="false">
      <c r="A22" s="2" t="s">
        <v>19</v>
      </c>
      <c r="B22" s="4" t="n">
        <f aca="false">COUNTIF(Missions!B2:B100,"Society")</f>
        <v>8</v>
      </c>
    </row>
    <row r="23" customFormat="false" ht="15" hidden="false" customHeight="false" outlineLevel="0" collapsed="false">
      <c r="A23" s="2"/>
    </row>
    <row r="24" customFormat="false" ht="15" hidden="false" customHeight="false" outlineLevel="0" collapsed="false">
      <c r="A24" s="3" t="s">
        <v>20</v>
      </c>
    </row>
    <row r="25" customFormat="false" ht="15" hidden="false" customHeight="false" outlineLevel="0" collapsed="false">
      <c r="A25" s="2" t="s">
        <v>21</v>
      </c>
    </row>
    <row r="26" customFormat="false" ht="15" hidden="false" customHeight="false" outlineLevel="0" collapsed="false">
      <c r="A26" s="2" t="s">
        <v>22</v>
      </c>
    </row>
    <row r="27" customFormat="false" ht="15" hidden="false" customHeight="false" outlineLevel="0" collapsed="false">
      <c r="A27" s="2" t="s">
        <v>23</v>
      </c>
    </row>
    <row r="28" customFormat="false" ht="15" hidden="false" customHeight="false" outlineLevel="0" collapsed="false">
      <c r="A28" s="2" t="s">
        <v>24</v>
      </c>
    </row>
    <row r="29" customFormat="false" ht="15" hidden="false" customHeight="false" outlineLevel="0" collapsed="false">
      <c r="A29" s="2" t="s">
        <v>25</v>
      </c>
    </row>
    <row r="30" customFormat="false" ht="15" hidden="false" customHeight="false" outlineLevel="0" collapsed="false">
      <c r="A30" s="2" t="s">
        <v>26</v>
      </c>
    </row>
    <row r="31" customFormat="false" ht="15" hidden="false" customHeight="false" outlineLevel="0" collapsed="false">
      <c r="A31" s="2"/>
    </row>
    <row r="32" customFormat="false" ht="15" hidden="false" customHeight="false" outlineLevel="0" collapsed="false">
      <c r="A32" s="3" t="s">
        <v>27</v>
      </c>
    </row>
    <row r="33" customFormat="false" ht="15" hidden="false" customHeight="false" outlineLevel="0" collapsed="false">
      <c r="A33" s="2" t="s">
        <v>28</v>
      </c>
    </row>
    <row r="34" customFormat="false" ht="15" hidden="false" customHeight="false" outlineLevel="0" collapsed="false">
      <c r="A34" s="2" t="s">
        <v>29</v>
      </c>
    </row>
    <row r="35" customFormat="false" ht="15" hidden="false" customHeight="false" outlineLevel="0" collapsed="false">
      <c r="A35" s="2" t="s">
        <v>30</v>
      </c>
    </row>
    <row r="36" customFormat="false" ht="15" hidden="false" customHeight="false" outlineLevel="0" collapsed="false">
      <c r="A36" s="2" t="s">
        <v>31</v>
      </c>
    </row>
    <row r="37" customFormat="false" ht="15" hidden="false" customHeight="false" outlineLevel="0" collapsed="false">
      <c r="A37" s="2"/>
    </row>
    <row r="38" customFormat="false" ht="15" hidden="false" customHeight="false" outlineLevel="0" collapsed="false">
      <c r="A38" s="3" t="s">
        <v>32</v>
      </c>
    </row>
    <row r="39" customFormat="false" ht="15" hidden="false" customHeight="false" outlineLevel="0" collapsed="false">
      <c r="A39" s="2" t="s">
        <v>33</v>
      </c>
    </row>
    <row r="40" customFormat="false" ht="15" hidden="false" customHeight="false" outlineLevel="0" collapsed="false">
      <c r="A40" s="2"/>
    </row>
    <row r="41" customFormat="false" ht="15" hidden="false" customHeight="false" outlineLevel="0" collapsed="false">
      <c r="A41" s="3" t="s">
        <v>34</v>
      </c>
    </row>
    <row r="42" customFormat="false" ht="15" hidden="false" customHeight="false" outlineLevel="0" collapsed="false">
      <c r="A42" s="2" t="s">
        <v>35</v>
      </c>
    </row>
    <row r="43" customFormat="false" ht="15" hidden="false" customHeight="false" outlineLevel="0" collapsed="false">
      <c r="A43" s="2"/>
    </row>
    <row r="44" customFormat="false" ht="15" hidden="false" customHeight="false" outlineLevel="0" collapsed="false">
      <c r="A44" s="3" t="s">
        <v>36</v>
      </c>
    </row>
    <row r="45" customFormat="false" ht="15" hidden="false" customHeight="false" outlineLevel="0" collapsed="false">
      <c r="A45" s="2" t="s">
        <v>37</v>
      </c>
    </row>
    <row r="46" customFormat="false" ht="15" hidden="false" customHeight="false" outlineLevel="0" collapsed="false">
      <c r="A46" s="2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50"/>
    <col collapsed="false" customWidth="true" hidden="false" outlineLevel="0" max="5" min="5" style="0" width="15"/>
    <col collapsed="false" customWidth="true" hidden="false" outlineLevel="0" max="6" min="6" style="0" width="34"/>
    <col collapsed="false" customWidth="true" hidden="false" outlineLevel="0" max="7" min="7" style="0" width="9"/>
    <col collapsed="false" customWidth="true" hidden="false" outlineLevel="0" max="8" min="8" style="0" width="8"/>
    <col collapsed="false" customWidth="true" hidden="false" outlineLevel="0" max="9" min="9" style="0" width="13"/>
    <col collapsed="false" customWidth="true" hidden="false" outlineLevel="0" max="10" min="10" style="0" width="8"/>
    <col collapsed="false" customWidth="true" hidden="false" outlineLevel="0" max="11" min="11" style="0" width="9"/>
    <col collapsed="false" customWidth="true" hidden="false" outlineLevel="0" max="14" min="12" style="0" width="8"/>
    <col collapsed="false" customWidth="true" hidden="false" outlineLevel="0" max="15" min="15" style="0" width="18"/>
    <col collapsed="false" customWidth="true" hidden="false" outlineLevel="0" max="16" min="16" style="0" width="28"/>
    <col collapsed="false" customWidth="true" hidden="false" outlineLevel="0" max="17" min="17" style="0" width="18"/>
    <col collapsed="false" customWidth="true" hidden="false" outlineLevel="0" max="18" min="18" style="0" width="26"/>
    <col collapsed="false" customWidth="true" hidden="false" outlineLevel="0" max="19" min="19" style="0" width="34"/>
  </cols>
  <sheetData>
    <row r="1" customFormat="false" ht="30" hidden="false" customHeight="true" outlineLevel="0" collapsed="false">
      <c r="A1" s="5" t="s">
        <v>39</v>
      </c>
      <c r="B1" s="5" t="s">
        <v>40</v>
      </c>
      <c r="C1" s="5" t="s">
        <v>41</v>
      </c>
      <c r="D1" s="5" t="s">
        <v>42</v>
      </c>
      <c r="E1" s="5" t="s">
        <v>43</v>
      </c>
      <c r="F1" s="5" t="s">
        <v>44</v>
      </c>
      <c r="G1" s="5" t="s">
        <v>45</v>
      </c>
      <c r="H1" s="5" t="s">
        <v>46</v>
      </c>
      <c r="I1" s="5" t="s">
        <v>47</v>
      </c>
      <c r="J1" s="5" t="s">
        <v>48</v>
      </c>
      <c r="K1" s="5" t="s">
        <v>49</v>
      </c>
      <c r="L1" s="5" t="s">
        <v>10</v>
      </c>
      <c r="M1" s="5" t="s">
        <v>11</v>
      </c>
      <c r="N1" s="5" t="s">
        <v>12</v>
      </c>
      <c r="O1" s="5" t="s">
        <v>50</v>
      </c>
      <c r="P1" s="5" t="s">
        <v>51</v>
      </c>
      <c r="Q1" s="5" t="s">
        <v>52</v>
      </c>
      <c r="R1" s="5" t="s">
        <v>53</v>
      </c>
      <c r="S1" s="5" t="s">
        <v>54</v>
      </c>
    </row>
    <row r="2" customFormat="false" ht="23.85" hidden="false" customHeight="false" outlineLevel="0" collapsed="false">
      <c r="A2" s="6" t="s">
        <v>55</v>
      </c>
      <c r="B2" s="6" t="s">
        <v>56</v>
      </c>
      <c r="C2" s="6" t="s">
        <v>57</v>
      </c>
      <c r="D2" s="6" t="s">
        <v>58</v>
      </c>
      <c r="E2" s="6" t="s">
        <v>59</v>
      </c>
      <c r="F2" s="6" t="s">
        <v>60</v>
      </c>
      <c r="G2" s="6" t="n">
        <v>3</v>
      </c>
      <c r="H2" s="7" t="n">
        <f aca="false">COUNTIF(Stages!$A$2:$A$500,A2)</f>
        <v>5</v>
      </c>
      <c r="I2" s="8" t="n">
        <v>250000</v>
      </c>
      <c r="J2" s="6" t="s">
        <v>61</v>
      </c>
      <c r="K2" s="6" t="n">
        <v>640</v>
      </c>
      <c r="L2" s="7" t="n">
        <f aca="false">COUNTIF(Squads!$B$2:$B$500,A2)</f>
        <v>4</v>
      </c>
      <c r="M2" s="7" t="n">
        <f aca="false">COUNTIF(Quests!$B$2:$B$1000,A2)</f>
        <v>9</v>
      </c>
      <c r="N2" s="7" t="n">
        <f aca="false">COUNTIFS(Quests!$B$2:$B$1000,A2,Quests!$I$2:$I$1000,"Open")</f>
        <v>6</v>
      </c>
      <c r="O2" s="6" t="s">
        <v>62</v>
      </c>
      <c r="P2" s="6" t="s">
        <v>63</v>
      </c>
      <c r="Q2" s="6" t="s">
        <v>64</v>
      </c>
      <c r="R2" s="6" t="s">
        <v>65</v>
      </c>
      <c r="S2" s="9"/>
    </row>
    <row r="3" customFormat="false" ht="23.85" hidden="false" customHeight="false" outlineLevel="0" collapsed="false">
      <c r="A3" s="6" t="s">
        <v>66</v>
      </c>
      <c r="B3" s="6" t="s">
        <v>56</v>
      </c>
      <c r="C3" s="6" t="s">
        <v>67</v>
      </c>
      <c r="D3" s="6" t="s">
        <v>68</v>
      </c>
      <c r="E3" s="6" t="s">
        <v>69</v>
      </c>
      <c r="F3" s="6" t="s">
        <v>70</v>
      </c>
      <c r="G3" s="6" t="n">
        <v>1</v>
      </c>
      <c r="H3" s="7" t="n">
        <f aca="false">COUNTIF(Stages!$A$2:$A$500,A3)</f>
        <v>4</v>
      </c>
      <c r="I3" s="8" t="n">
        <v>20000</v>
      </c>
      <c r="J3" s="6" t="s">
        <v>61</v>
      </c>
      <c r="K3" s="6" t="n">
        <v>38</v>
      </c>
      <c r="L3" s="7" t="n">
        <f aca="false">COUNTIF(Squads!$B$2:$B$500,A3)</f>
        <v>1</v>
      </c>
      <c r="M3" s="7" t="n">
        <f aca="false">COUNTIF(Quests!$B$2:$B$1000,A3)</f>
        <v>5</v>
      </c>
      <c r="N3" s="7" t="n">
        <f aca="false">COUNTIFS(Quests!$B$2:$B$1000,A3,Quests!$I$2:$I$1000,"Open")</f>
        <v>5</v>
      </c>
      <c r="O3" s="6" t="s">
        <v>71</v>
      </c>
      <c r="P3" s="6" t="s">
        <v>72</v>
      </c>
      <c r="Q3" s="6" t="s">
        <v>64</v>
      </c>
      <c r="R3" s="6" t="s">
        <v>73</v>
      </c>
      <c r="S3" s="9"/>
    </row>
    <row r="4" customFormat="false" ht="23.85" hidden="false" customHeight="false" outlineLevel="0" collapsed="false">
      <c r="A4" s="6" t="s">
        <v>74</v>
      </c>
      <c r="B4" s="6" t="s">
        <v>75</v>
      </c>
      <c r="C4" s="6" t="s">
        <v>76</v>
      </c>
      <c r="D4" s="6" t="s">
        <v>77</v>
      </c>
      <c r="E4" s="6" t="s">
        <v>78</v>
      </c>
      <c r="F4" s="6" t="s">
        <v>79</v>
      </c>
      <c r="G4" s="6" t="n">
        <v>1</v>
      </c>
      <c r="H4" s="7" t="n">
        <f aca="false">COUNTIF(Stages!$A$2:$A$500,A4)</f>
        <v>4</v>
      </c>
      <c r="I4" s="10" t="n">
        <v>5000000</v>
      </c>
      <c r="J4" s="6" t="s">
        <v>80</v>
      </c>
      <c r="K4" s="6" t="n">
        <v>310</v>
      </c>
      <c r="L4" s="7" t="n">
        <f aca="false">COUNTIF(Squads!$B$2:$B$500,A4)</f>
        <v>3</v>
      </c>
      <c r="M4" s="7" t="n">
        <f aca="false">COUNTIF(Quests!$B$2:$B$1000,A4)</f>
        <v>7</v>
      </c>
      <c r="N4" s="7" t="n">
        <f aca="false">COUNTIFS(Quests!$B$2:$B$1000,A4,Quests!$I$2:$I$1000,"Open")</f>
        <v>5</v>
      </c>
      <c r="O4" s="6" t="s">
        <v>81</v>
      </c>
      <c r="P4" s="6" t="s">
        <v>82</v>
      </c>
      <c r="Q4" s="6" t="s">
        <v>83</v>
      </c>
      <c r="R4" s="6" t="s">
        <v>84</v>
      </c>
      <c r="S4" s="9"/>
    </row>
    <row r="5" customFormat="false" ht="23.85" hidden="false" customHeight="false" outlineLevel="0" collapsed="false">
      <c r="A5" s="6" t="s">
        <v>85</v>
      </c>
      <c r="B5" s="6" t="s">
        <v>75</v>
      </c>
      <c r="C5" s="6" t="s">
        <v>86</v>
      </c>
      <c r="D5" s="6" t="s">
        <v>87</v>
      </c>
      <c r="E5" s="6" t="s">
        <v>59</v>
      </c>
      <c r="F5" s="6" t="s">
        <v>88</v>
      </c>
      <c r="G5" s="6" t="n">
        <v>2</v>
      </c>
      <c r="H5" s="7" t="n">
        <f aca="false">COUNTIF(Stages!$A$2:$A$500,A5)</f>
        <v>4</v>
      </c>
      <c r="I5" s="8" t="n">
        <v>60000</v>
      </c>
      <c r="J5" s="6" t="s">
        <v>61</v>
      </c>
      <c r="K5" s="6" t="n">
        <v>190</v>
      </c>
      <c r="L5" s="7" t="n">
        <f aca="false">COUNTIF(Squads!$B$2:$B$500,A5)</f>
        <v>2</v>
      </c>
      <c r="M5" s="7" t="n">
        <f aca="false">COUNTIF(Quests!$B$2:$B$1000,A5)</f>
        <v>6</v>
      </c>
      <c r="N5" s="7" t="n">
        <f aca="false">COUNTIFS(Quests!$B$2:$B$1000,A5,Quests!$I$2:$I$1000,"Open")</f>
        <v>5</v>
      </c>
      <c r="O5" s="6" t="s">
        <v>89</v>
      </c>
      <c r="P5" s="6" t="s">
        <v>90</v>
      </c>
      <c r="Q5" s="6" t="s">
        <v>64</v>
      </c>
      <c r="R5" s="6" t="s">
        <v>84</v>
      </c>
      <c r="S5" s="9"/>
    </row>
    <row r="6" customFormat="false" ht="15" hidden="false" customHeight="false" outlineLevel="0" collapsed="false">
      <c r="A6" s="6" t="s">
        <v>91</v>
      </c>
      <c r="B6" s="6" t="s">
        <v>92</v>
      </c>
      <c r="C6" s="6" t="s">
        <v>93</v>
      </c>
      <c r="D6" s="6" t="s">
        <v>94</v>
      </c>
      <c r="E6" s="6" t="s">
        <v>95</v>
      </c>
      <c r="F6" s="6" t="s">
        <v>96</v>
      </c>
      <c r="G6" s="6" t="n">
        <v>2</v>
      </c>
      <c r="H6" s="7" t="n">
        <f aca="false">COUNTIF(Stages!$A$2:$A$500,A6)</f>
        <v>4</v>
      </c>
      <c r="I6" s="8" t="n">
        <v>85000</v>
      </c>
      <c r="J6" s="6" t="s">
        <v>61</v>
      </c>
      <c r="K6" s="6" t="n">
        <v>95</v>
      </c>
      <c r="L6" s="7" t="n">
        <f aca="false">COUNTIF(Squads!$B$2:$B$500,A6)</f>
        <v>2</v>
      </c>
      <c r="M6" s="7" t="n">
        <f aca="false">COUNTIF(Quests!$B$2:$B$1000,A6)</f>
        <v>6</v>
      </c>
      <c r="N6" s="7" t="n">
        <f aca="false">COUNTIFS(Quests!$B$2:$B$1000,A6,Quests!$I$2:$I$1000,"Open")</f>
        <v>5</v>
      </c>
      <c r="O6" s="6" t="s">
        <v>97</v>
      </c>
      <c r="P6" s="6" t="s">
        <v>98</v>
      </c>
      <c r="Q6" s="6" t="s">
        <v>64</v>
      </c>
      <c r="R6" s="6" t="s">
        <v>99</v>
      </c>
      <c r="S6" s="9"/>
    </row>
    <row r="7" customFormat="false" ht="23.85" hidden="false" customHeight="false" outlineLevel="0" collapsed="false">
      <c r="A7" s="6" t="s">
        <v>100</v>
      </c>
      <c r="B7" s="6" t="s">
        <v>92</v>
      </c>
      <c r="C7" s="6" t="s">
        <v>101</v>
      </c>
      <c r="D7" s="6" t="s">
        <v>102</v>
      </c>
      <c r="E7" s="6" t="s">
        <v>103</v>
      </c>
      <c r="F7" s="6" t="s">
        <v>104</v>
      </c>
      <c r="G7" s="6" t="n">
        <v>0</v>
      </c>
      <c r="H7" s="7" t="n">
        <f aca="false">COUNTIF(Stages!$A$2:$A$500,A7)</f>
        <v>4</v>
      </c>
      <c r="I7" s="8" t="n">
        <v>30000</v>
      </c>
      <c r="J7" s="6" t="s">
        <v>61</v>
      </c>
      <c r="K7" s="6" t="n">
        <v>0</v>
      </c>
      <c r="L7" s="7" t="n">
        <f aca="false">COUNTIF(Squads!$B$2:$B$500,A7)</f>
        <v>1</v>
      </c>
      <c r="M7" s="7" t="n">
        <f aca="false">COUNTIF(Quests!$B$2:$B$1000,A7)</f>
        <v>3</v>
      </c>
      <c r="N7" s="7" t="n">
        <f aca="false">COUNTIFS(Quests!$B$2:$B$1000,A7,Quests!$I$2:$I$1000,"Open")</f>
        <v>1</v>
      </c>
      <c r="O7" s="6" t="s">
        <v>105</v>
      </c>
      <c r="P7" s="6" t="s">
        <v>106</v>
      </c>
      <c r="Q7" s="6" t="s">
        <v>107</v>
      </c>
      <c r="R7" s="6" t="s">
        <v>73</v>
      </c>
      <c r="S7" s="9"/>
    </row>
    <row r="8" customFormat="false" ht="23.85" hidden="false" customHeight="false" outlineLevel="0" collapsed="false">
      <c r="A8" s="6" t="s">
        <v>108</v>
      </c>
      <c r="B8" s="6" t="s">
        <v>109</v>
      </c>
      <c r="C8" s="6" t="s">
        <v>110</v>
      </c>
      <c r="D8" s="6" t="s">
        <v>111</v>
      </c>
      <c r="E8" s="6" t="s">
        <v>112</v>
      </c>
      <c r="F8" s="6" t="s">
        <v>113</v>
      </c>
      <c r="G8" s="6" t="n">
        <v>4</v>
      </c>
      <c r="H8" s="7" t="n">
        <f aca="false">COUNTIF(Stages!$A$2:$A$500,A8)</f>
        <v>4</v>
      </c>
      <c r="I8" s="8" t="n">
        <v>120000</v>
      </c>
      <c r="J8" s="6" t="s">
        <v>61</v>
      </c>
      <c r="K8" s="6" t="n">
        <v>180</v>
      </c>
      <c r="L8" s="7" t="n">
        <f aca="false">COUNTIF(Squads!$B$2:$B$500,A8)</f>
        <v>1</v>
      </c>
      <c r="M8" s="7" t="n">
        <f aca="false">COUNTIF(Quests!$B$2:$B$1000,A8)</f>
        <v>5</v>
      </c>
      <c r="N8" s="7" t="n">
        <f aca="false">COUNTIFS(Quests!$B$2:$B$1000,A8,Quests!$I$2:$I$1000,"Open")</f>
        <v>2</v>
      </c>
      <c r="O8" s="6" t="s">
        <v>114</v>
      </c>
      <c r="P8" s="6" t="s">
        <v>115</v>
      </c>
      <c r="Q8" s="6" t="s">
        <v>116</v>
      </c>
      <c r="R8" s="6" t="s">
        <v>117</v>
      </c>
      <c r="S8" s="9"/>
    </row>
    <row r="9" customFormat="false" ht="23.85" hidden="false" customHeight="false" outlineLevel="0" collapsed="false">
      <c r="A9" s="6" t="s">
        <v>118</v>
      </c>
      <c r="B9" s="6" t="s">
        <v>119</v>
      </c>
      <c r="C9" s="6" t="s">
        <v>120</v>
      </c>
      <c r="D9" s="6" t="s">
        <v>121</v>
      </c>
      <c r="E9" s="6" t="s">
        <v>59</v>
      </c>
      <c r="F9" s="6" t="s">
        <v>122</v>
      </c>
      <c r="G9" s="6" t="n">
        <v>2</v>
      </c>
      <c r="H9" s="7" t="n">
        <f aca="false">COUNTIF(Stages!$A$2:$A$500,A9)</f>
        <v>4</v>
      </c>
      <c r="I9" s="10" t="n">
        <v>1500000</v>
      </c>
      <c r="J9" s="6" t="s">
        <v>80</v>
      </c>
      <c r="K9" s="6" t="n">
        <v>260</v>
      </c>
      <c r="L9" s="7" t="n">
        <f aca="false">COUNTIF(Squads!$B$2:$B$500,A9)</f>
        <v>3</v>
      </c>
      <c r="M9" s="7" t="n">
        <f aca="false">COUNTIF(Quests!$B$2:$B$1000,A9)</f>
        <v>8</v>
      </c>
      <c r="N9" s="7" t="n">
        <f aca="false">COUNTIFS(Quests!$B$2:$B$1000,A9,Quests!$I$2:$I$1000,"Open")</f>
        <v>6</v>
      </c>
      <c r="O9" s="6" t="s">
        <v>123</v>
      </c>
      <c r="P9" s="6" t="s">
        <v>124</v>
      </c>
      <c r="Q9" s="6" t="s">
        <v>125</v>
      </c>
      <c r="R9" s="6" t="s">
        <v>73</v>
      </c>
      <c r="S9" s="9"/>
    </row>
    <row r="10" customFormat="false" ht="23.85" hidden="false" customHeight="false" outlineLevel="0" collapsed="false">
      <c r="A10" s="6" t="s">
        <v>126</v>
      </c>
      <c r="B10" s="6" t="s">
        <v>119</v>
      </c>
      <c r="C10" s="6" t="s">
        <v>127</v>
      </c>
      <c r="D10" s="6" t="s">
        <v>128</v>
      </c>
      <c r="E10" s="6" t="s">
        <v>129</v>
      </c>
      <c r="F10" s="6" t="s">
        <v>130</v>
      </c>
      <c r="G10" s="6" t="n">
        <v>2</v>
      </c>
      <c r="H10" s="7" t="n">
        <f aca="false">COUNTIF(Stages!$A$2:$A$500,A10)</f>
        <v>4</v>
      </c>
      <c r="I10" s="10" t="n">
        <v>500000</v>
      </c>
      <c r="J10" s="6" t="s">
        <v>80</v>
      </c>
      <c r="K10" s="6" t="n">
        <v>120</v>
      </c>
      <c r="L10" s="7" t="n">
        <f aca="false">COUNTIF(Squads!$B$2:$B$500,A10)</f>
        <v>1</v>
      </c>
      <c r="M10" s="7" t="n">
        <f aca="false">COUNTIF(Quests!$B$2:$B$1000,A10)</f>
        <v>5</v>
      </c>
      <c r="N10" s="7" t="n">
        <f aca="false">COUNTIFS(Quests!$B$2:$B$1000,A10,Quests!$I$2:$I$1000,"Open")</f>
        <v>3</v>
      </c>
      <c r="O10" s="6" t="s">
        <v>131</v>
      </c>
      <c r="P10" s="6" t="s">
        <v>132</v>
      </c>
      <c r="Q10" s="6" t="s">
        <v>133</v>
      </c>
      <c r="R10" s="6" t="s">
        <v>73</v>
      </c>
      <c r="S10" s="9"/>
    </row>
    <row r="11" customFormat="false" ht="23.85" hidden="false" customHeight="false" outlineLevel="0" collapsed="false">
      <c r="A11" s="6" t="s">
        <v>134</v>
      </c>
      <c r="B11" s="6" t="s">
        <v>119</v>
      </c>
      <c r="C11" s="6" t="s">
        <v>135</v>
      </c>
      <c r="D11" s="6" t="s">
        <v>136</v>
      </c>
      <c r="E11" s="6" t="s">
        <v>137</v>
      </c>
      <c r="F11" s="6" t="s">
        <v>138</v>
      </c>
      <c r="G11" s="6" t="n">
        <v>1</v>
      </c>
      <c r="H11" s="7" t="n">
        <f aca="false">COUNTIF(Stages!$A$2:$A$500,A11)</f>
        <v>4</v>
      </c>
      <c r="I11" s="10" t="n">
        <v>800000</v>
      </c>
      <c r="J11" s="6" t="s">
        <v>80</v>
      </c>
      <c r="K11" s="6" t="n">
        <v>340</v>
      </c>
      <c r="L11" s="7" t="n">
        <f aca="false">COUNTIF(Squads!$B$2:$B$500,A11)</f>
        <v>1</v>
      </c>
      <c r="M11" s="7" t="n">
        <f aca="false">COUNTIF(Quests!$B$2:$B$1000,A11)</f>
        <v>5</v>
      </c>
      <c r="N11" s="7" t="n">
        <f aca="false">COUNTIFS(Quests!$B$2:$B$1000,A11,Quests!$I$2:$I$1000,"Open")</f>
        <v>3</v>
      </c>
      <c r="O11" s="6" t="s">
        <v>139</v>
      </c>
      <c r="P11" s="6" t="s">
        <v>140</v>
      </c>
      <c r="Q11" s="6" t="s">
        <v>141</v>
      </c>
      <c r="R11" s="6" t="s">
        <v>73</v>
      </c>
      <c r="S11" s="9"/>
    </row>
    <row r="12" customFormat="false" ht="23.85" hidden="false" customHeight="false" outlineLevel="0" collapsed="false">
      <c r="A12" s="6" t="s">
        <v>142</v>
      </c>
      <c r="B12" s="6" t="s">
        <v>119</v>
      </c>
      <c r="C12" s="6" t="s">
        <v>143</v>
      </c>
      <c r="D12" s="6" t="s">
        <v>144</v>
      </c>
      <c r="E12" s="6" t="s">
        <v>95</v>
      </c>
      <c r="F12" s="6" t="s">
        <v>145</v>
      </c>
      <c r="G12" s="6" t="n">
        <v>3</v>
      </c>
      <c r="H12" s="7" t="n">
        <f aca="false">COUNTIF(Stages!$A$2:$A$500,A12)</f>
        <v>5</v>
      </c>
      <c r="I12" s="10" t="n">
        <v>600000</v>
      </c>
      <c r="J12" s="6" t="s">
        <v>80</v>
      </c>
      <c r="K12" s="6" t="n">
        <v>55</v>
      </c>
      <c r="L12" s="7" t="n">
        <f aca="false">COUNTIF(Squads!$B$2:$B$500,A12)</f>
        <v>1</v>
      </c>
      <c r="M12" s="7" t="n">
        <f aca="false">COUNTIF(Quests!$B$2:$B$1000,A12)</f>
        <v>4</v>
      </c>
      <c r="N12" s="7" t="n">
        <f aca="false">COUNTIFS(Quests!$B$2:$B$1000,A12,Quests!$I$2:$I$1000,"Open")</f>
        <v>2</v>
      </c>
      <c r="O12" s="6" t="s">
        <v>146</v>
      </c>
      <c r="P12" s="6" t="s">
        <v>147</v>
      </c>
      <c r="Q12" s="6" t="s">
        <v>148</v>
      </c>
      <c r="R12" s="6" t="s">
        <v>73</v>
      </c>
      <c r="S12" s="9"/>
    </row>
    <row r="13" customFormat="false" ht="15" hidden="false" customHeight="false" outlineLevel="0" collapsed="false">
      <c r="A13" s="6" t="s">
        <v>149</v>
      </c>
      <c r="B13" s="6" t="s">
        <v>119</v>
      </c>
      <c r="C13" s="6" t="s">
        <v>150</v>
      </c>
      <c r="D13" s="6" t="s">
        <v>151</v>
      </c>
      <c r="E13" s="6" t="s">
        <v>152</v>
      </c>
      <c r="F13" s="6" t="s">
        <v>153</v>
      </c>
      <c r="G13" s="6" t="n">
        <v>1</v>
      </c>
      <c r="H13" s="7" t="n">
        <f aca="false">COUNTIF(Stages!$A$2:$A$500,A13)</f>
        <v>4</v>
      </c>
      <c r="I13" s="8" t="n">
        <v>25000</v>
      </c>
      <c r="J13" s="6" t="s">
        <v>61</v>
      </c>
      <c r="K13" s="6" t="n">
        <v>12</v>
      </c>
      <c r="L13" s="7" t="n">
        <f aca="false">COUNTIF(Squads!$B$2:$B$500,A13)</f>
        <v>1</v>
      </c>
      <c r="M13" s="7" t="n">
        <f aca="false">COUNTIF(Quests!$B$2:$B$1000,A13)</f>
        <v>3</v>
      </c>
      <c r="N13" s="7" t="n">
        <f aca="false">COUNTIFS(Quests!$B$2:$B$1000,A13,Quests!$I$2:$I$1000,"Open")</f>
        <v>1</v>
      </c>
      <c r="O13" s="6" t="s">
        <v>154</v>
      </c>
      <c r="P13" s="6" t="s">
        <v>155</v>
      </c>
      <c r="Q13" s="6" t="s">
        <v>156</v>
      </c>
      <c r="R13" s="6" t="s">
        <v>73</v>
      </c>
      <c r="S13" s="9"/>
    </row>
    <row r="14" customFormat="false" ht="23.85" hidden="false" customHeight="false" outlineLevel="0" collapsed="false">
      <c r="A14" s="6" t="s">
        <v>157</v>
      </c>
      <c r="B14" s="6" t="s">
        <v>119</v>
      </c>
      <c r="C14" s="6" t="s">
        <v>158</v>
      </c>
      <c r="D14" s="6" t="s">
        <v>159</v>
      </c>
      <c r="E14" s="6" t="s">
        <v>160</v>
      </c>
      <c r="F14" s="6" t="s">
        <v>161</v>
      </c>
      <c r="G14" s="6" t="n">
        <v>1</v>
      </c>
      <c r="H14" s="7" t="n">
        <f aca="false">COUNTIF(Stages!$A$2:$A$500,A14)</f>
        <v>4</v>
      </c>
      <c r="I14" s="8" t="n">
        <v>8000</v>
      </c>
      <c r="J14" s="6" t="s">
        <v>61</v>
      </c>
      <c r="K14" s="6" t="n">
        <v>24</v>
      </c>
      <c r="L14" s="7" t="n">
        <f aca="false">COUNTIF(Squads!$B$2:$B$500,A14)</f>
        <v>1</v>
      </c>
      <c r="M14" s="7" t="n">
        <f aca="false">COUNTIF(Quests!$B$2:$B$1000,A14)</f>
        <v>5</v>
      </c>
      <c r="N14" s="7" t="n">
        <f aca="false">COUNTIFS(Quests!$B$2:$B$1000,A14,Quests!$I$2:$I$1000,"Open")</f>
        <v>4</v>
      </c>
      <c r="O14" s="6" t="s">
        <v>162</v>
      </c>
      <c r="P14" s="6" t="s">
        <v>163</v>
      </c>
      <c r="Q14" s="6" t="s">
        <v>164</v>
      </c>
      <c r="R14" s="6" t="s">
        <v>73</v>
      </c>
      <c r="S14" s="9"/>
    </row>
    <row r="15" customFormat="false" ht="15" hidden="false" customHeight="false" outlineLevel="0" collapsed="false">
      <c r="A15" s="6" t="s">
        <v>165</v>
      </c>
      <c r="B15" s="6" t="s">
        <v>119</v>
      </c>
      <c r="C15" s="6" t="s">
        <v>166</v>
      </c>
      <c r="D15" s="6" t="s">
        <v>167</v>
      </c>
      <c r="E15" s="6" t="s">
        <v>168</v>
      </c>
      <c r="F15" s="6" t="s">
        <v>169</v>
      </c>
      <c r="G15" s="6" t="n">
        <v>3</v>
      </c>
      <c r="H15" s="7" t="n">
        <f aca="false">COUNTIF(Stages!$A$2:$A$500,A15)</f>
        <v>0</v>
      </c>
      <c r="I15" s="8" t="n">
        <v>12000</v>
      </c>
      <c r="J15" s="6" t="s">
        <v>61</v>
      </c>
      <c r="K15" s="6" t="n">
        <v>140</v>
      </c>
      <c r="L15" s="7" t="n">
        <f aca="false">COUNTIF(Squads!$B$2:$B$500,A15)</f>
        <v>0</v>
      </c>
      <c r="M15" s="7" t="n">
        <f aca="false">COUNTIF(Quests!$B$2:$B$1000,A15)</f>
        <v>0</v>
      </c>
      <c r="N15" s="7" t="n">
        <f aca="false">COUNTIFS(Quests!$B$2:$B$1000,A15,Quests!$I$2:$I$1000,"Open")</f>
        <v>0</v>
      </c>
      <c r="O15" s="6" t="s">
        <v>170</v>
      </c>
      <c r="P15" s="6" t="s">
        <v>171</v>
      </c>
      <c r="Q15" s="6" t="s">
        <v>172</v>
      </c>
      <c r="R15" s="6" t="s">
        <v>173</v>
      </c>
      <c r="S15" s="9"/>
    </row>
    <row r="16" customFormat="false" ht="15" hidden="false" customHeight="false" outlineLevel="0" collapsed="false">
      <c r="A16" s="6" t="s">
        <v>174</v>
      </c>
      <c r="B16" s="6" t="s">
        <v>56</v>
      </c>
      <c r="C16" s="6" t="s">
        <v>175</v>
      </c>
      <c r="D16" s="6" t="s">
        <v>176</v>
      </c>
      <c r="E16" s="6" t="s">
        <v>177</v>
      </c>
      <c r="F16" s="6" t="s">
        <v>178</v>
      </c>
      <c r="G16" s="6" t="n">
        <v>4</v>
      </c>
      <c r="H16" s="7" t="n">
        <f aca="false">COUNTIF(Stages!$A$2:$A$500,A16)</f>
        <v>0</v>
      </c>
      <c r="I16" s="8" t="n">
        <v>15000</v>
      </c>
      <c r="J16" s="6" t="s">
        <v>61</v>
      </c>
      <c r="K16" s="6" t="n">
        <v>85</v>
      </c>
      <c r="L16" s="7" t="n">
        <f aca="false">COUNTIF(Squads!$B$2:$B$500,A16)</f>
        <v>0</v>
      </c>
      <c r="M16" s="7" t="n">
        <f aca="false">COUNTIF(Quests!$B$2:$B$1000,A16)</f>
        <v>0</v>
      </c>
      <c r="N16" s="7" t="n">
        <f aca="false">COUNTIFS(Quests!$B$2:$B$1000,A16,Quests!$I$2:$I$1000,"Open")</f>
        <v>0</v>
      </c>
      <c r="O16" s="6" t="s">
        <v>170</v>
      </c>
      <c r="P16" s="6" t="s">
        <v>171</v>
      </c>
      <c r="Q16" s="6" t="s">
        <v>64</v>
      </c>
      <c r="R16" s="6" t="s">
        <v>173</v>
      </c>
      <c r="S16" s="9"/>
    </row>
    <row r="17" customFormat="false" ht="23.85" hidden="false" customHeight="false" outlineLevel="0" collapsed="false">
      <c r="A17" s="6" t="s">
        <v>179</v>
      </c>
      <c r="B17" s="6" t="s">
        <v>119</v>
      </c>
      <c r="C17" s="6" t="s">
        <v>180</v>
      </c>
      <c r="D17" s="6" t="s">
        <v>181</v>
      </c>
      <c r="E17" s="6" t="s">
        <v>168</v>
      </c>
      <c r="F17" s="6" t="s">
        <v>182</v>
      </c>
      <c r="G17" s="6" t="n">
        <v>4</v>
      </c>
      <c r="H17" s="7" t="n">
        <f aca="false">COUNTIF(Stages!$A$2:$A$500,A17)</f>
        <v>0</v>
      </c>
      <c r="I17" s="10" t="n">
        <v>400000</v>
      </c>
      <c r="J17" s="6" t="s">
        <v>80</v>
      </c>
      <c r="K17" s="6" t="n">
        <v>160</v>
      </c>
      <c r="L17" s="7" t="n">
        <f aca="false">COUNTIF(Squads!$B$2:$B$500,A17)</f>
        <v>0</v>
      </c>
      <c r="M17" s="7" t="n">
        <f aca="false">COUNTIF(Quests!$B$2:$B$1000,A17)</f>
        <v>0</v>
      </c>
      <c r="N17" s="7" t="n">
        <f aca="false">COUNTIFS(Quests!$B$2:$B$1000,A17,Quests!$I$2:$I$1000,"Open")</f>
        <v>0</v>
      </c>
      <c r="O17" s="6" t="s">
        <v>183</v>
      </c>
      <c r="P17" s="6" t="s">
        <v>184</v>
      </c>
      <c r="Q17" s="6" t="s">
        <v>185</v>
      </c>
      <c r="R17" s="6" t="s">
        <v>173</v>
      </c>
      <c r="S17" s="9"/>
    </row>
    <row r="18" customFormat="false" ht="15" hidden="false" customHeight="false" outlineLevel="0" collapsed="false">
      <c r="A18" s="6" t="s">
        <v>186</v>
      </c>
      <c r="B18" s="6" t="s">
        <v>92</v>
      </c>
      <c r="C18" s="6" t="s">
        <v>187</v>
      </c>
      <c r="D18" s="6" t="s">
        <v>188</v>
      </c>
      <c r="E18" s="6" t="s">
        <v>189</v>
      </c>
      <c r="F18" s="6" t="s">
        <v>190</v>
      </c>
      <c r="G18" s="6" t="n">
        <v>2</v>
      </c>
      <c r="H18" s="7" t="n">
        <f aca="false">COUNTIF(Stages!$A$2:$A$500,A18)</f>
        <v>0</v>
      </c>
      <c r="I18" s="8" t="n">
        <v>18000</v>
      </c>
      <c r="J18" s="6" t="s">
        <v>61</v>
      </c>
      <c r="K18" s="6" t="n">
        <v>61</v>
      </c>
      <c r="L18" s="7" t="n">
        <f aca="false">COUNTIF(Squads!$B$2:$B$500,A18)</f>
        <v>0</v>
      </c>
      <c r="M18" s="7" t="n">
        <f aca="false">COUNTIF(Quests!$B$2:$B$1000,A18)</f>
        <v>0</v>
      </c>
      <c r="N18" s="7" t="n">
        <f aca="false">COUNTIFS(Quests!$B$2:$B$1000,A18,Quests!$I$2:$I$1000,"Open")</f>
        <v>0</v>
      </c>
      <c r="O18" s="6" t="s">
        <v>191</v>
      </c>
      <c r="P18" s="6" t="s">
        <v>192</v>
      </c>
      <c r="Q18" s="6" t="s">
        <v>64</v>
      </c>
      <c r="R18" s="6" t="s">
        <v>173</v>
      </c>
      <c r="S18" s="9"/>
    </row>
  </sheetData>
  <autoFilter ref="A1:S18"/>
  <dataValidations count="2">
    <dataValidation allowBlank="true" errorStyle="stop" operator="between" showDropDown="false" showErrorMessage="false" showInputMessage="false" sqref="B2:B500" type="list">
      <formula1>"Health,Planet,Learning,AI,Society"</formula1>
      <formula2>0</formula2>
    </dataValidation>
    <dataValidation allowBlank="true" errorStyle="stop" operator="between" showDropDown="false" showErrorMessage="false" showInputMessage="false" sqref="J2:J500" type="list">
      <formula1>"$,₹"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"/>
    <col collapsed="false" customWidth="true" hidden="false" outlineLevel="0" max="3" min="3" style="0" width="14"/>
    <col collapsed="false" customWidth="true" hidden="false" outlineLevel="0" max="4" min="4" style="0" width="44"/>
    <col collapsed="false" customWidth="true" hidden="false" outlineLevel="0" max="5" min="5" style="0" width="10"/>
    <col collapsed="false" customWidth="true" hidden="false" outlineLevel="0" max="6" min="6" style="0" width="14"/>
    <col collapsed="false" customWidth="true" hidden="false" outlineLevel="0" max="7" min="7" style="0" width="10"/>
    <col collapsed="false" customWidth="true" hidden="false" outlineLevel="0" max="9" min="8" style="0" width="9"/>
    <col collapsed="false" customWidth="true" hidden="false" outlineLevel="0" max="10" min="10" style="0" width="56"/>
    <col collapsed="false" customWidth="true" hidden="false" outlineLevel="0" max="11" min="11" style="0" width="34"/>
  </cols>
  <sheetData>
    <row r="1" customFormat="false" ht="30" hidden="false" customHeight="true" outlineLevel="0" collapsed="false">
      <c r="A1" s="5" t="s">
        <v>39</v>
      </c>
      <c r="B1" s="5" t="s">
        <v>193</v>
      </c>
      <c r="C1" s="5" t="s">
        <v>194</v>
      </c>
      <c r="D1" s="5" t="s">
        <v>195</v>
      </c>
      <c r="E1" s="5" t="s">
        <v>196</v>
      </c>
      <c r="F1" s="5" t="s">
        <v>197</v>
      </c>
      <c r="G1" s="5" t="s">
        <v>198</v>
      </c>
      <c r="H1" s="5" t="s">
        <v>199</v>
      </c>
      <c r="I1" s="5" t="s">
        <v>200</v>
      </c>
      <c r="J1" s="5" t="s">
        <v>201</v>
      </c>
      <c r="K1" s="5" t="s">
        <v>54</v>
      </c>
    </row>
    <row r="2" customFormat="false" ht="15" hidden="false" customHeight="false" outlineLevel="0" collapsed="false">
      <c r="A2" s="6" t="s">
        <v>55</v>
      </c>
      <c r="B2" s="6" t="n">
        <v>1</v>
      </c>
      <c r="C2" s="6" t="s">
        <v>202</v>
      </c>
      <c r="D2" s="6" t="s">
        <v>203</v>
      </c>
      <c r="E2" s="11" t="n">
        <v>40</v>
      </c>
      <c r="F2" s="6" t="s">
        <v>204</v>
      </c>
      <c r="G2" s="11" t="n">
        <v>40</v>
      </c>
      <c r="H2" s="12" t="n">
        <f aca="false">IFERROR(G2/E2,0)</f>
        <v>1</v>
      </c>
      <c r="I2" s="6" t="s">
        <v>205</v>
      </c>
      <c r="J2" s="6" t="s">
        <v>206</v>
      </c>
      <c r="K2" s="9"/>
    </row>
    <row r="3" customFormat="false" ht="15" hidden="false" customHeight="false" outlineLevel="0" collapsed="false">
      <c r="A3" s="6" t="s">
        <v>55</v>
      </c>
      <c r="B3" s="6" t="n">
        <v>2</v>
      </c>
      <c r="C3" s="6" t="s">
        <v>207</v>
      </c>
      <c r="D3" s="6" t="s">
        <v>208</v>
      </c>
      <c r="E3" s="11" t="n">
        <v>50</v>
      </c>
      <c r="F3" s="6" t="s">
        <v>209</v>
      </c>
      <c r="G3" s="11" t="n">
        <v>50</v>
      </c>
      <c r="H3" s="12" t="n">
        <f aca="false">IFERROR(G3/E3,0)</f>
        <v>1</v>
      </c>
      <c r="I3" s="6" t="s">
        <v>205</v>
      </c>
      <c r="J3" s="6" t="s">
        <v>210</v>
      </c>
      <c r="K3" s="9"/>
    </row>
    <row r="4" customFormat="false" ht="23.85" hidden="false" customHeight="false" outlineLevel="0" collapsed="false">
      <c r="A4" s="6" t="s">
        <v>55</v>
      </c>
      <c r="B4" s="6" t="n">
        <v>3</v>
      </c>
      <c r="C4" s="6" t="s">
        <v>211</v>
      </c>
      <c r="D4" s="6" t="s">
        <v>212</v>
      </c>
      <c r="E4" s="11" t="n">
        <v>10</v>
      </c>
      <c r="F4" s="6" t="s">
        <v>213</v>
      </c>
      <c r="G4" s="11" t="n">
        <v>4</v>
      </c>
      <c r="H4" s="12" t="n">
        <f aca="false">IFERROR(G4/E4,0)</f>
        <v>0.4</v>
      </c>
      <c r="I4" s="6" t="s">
        <v>214</v>
      </c>
      <c r="J4" s="6" t="s">
        <v>215</v>
      </c>
      <c r="K4" s="9"/>
    </row>
    <row r="5" customFormat="false" ht="15" hidden="false" customHeight="false" outlineLevel="0" collapsed="false">
      <c r="A5" s="6" t="s">
        <v>55</v>
      </c>
      <c r="B5" s="6" t="n">
        <v>4</v>
      </c>
      <c r="C5" s="6" t="s">
        <v>216</v>
      </c>
      <c r="D5" s="6" t="s">
        <v>217</v>
      </c>
      <c r="E5" s="11" t="n">
        <v>10</v>
      </c>
      <c r="F5" s="6" t="s">
        <v>218</v>
      </c>
      <c r="G5" s="11" t="n">
        <v>0</v>
      </c>
      <c r="H5" s="12" t="n">
        <f aca="false">IFERROR(G5/E5,0)</f>
        <v>0</v>
      </c>
      <c r="I5" s="6" t="s">
        <v>219</v>
      </c>
      <c r="J5" s="6" t="s">
        <v>220</v>
      </c>
      <c r="K5" s="9"/>
    </row>
    <row r="6" customFormat="false" ht="15" hidden="false" customHeight="false" outlineLevel="0" collapsed="false">
      <c r="A6" s="6" t="s">
        <v>55</v>
      </c>
      <c r="B6" s="6" t="n">
        <v>5</v>
      </c>
      <c r="C6" s="6" t="s">
        <v>221</v>
      </c>
      <c r="D6" s="6" t="s">
        <v>222</v>
      </c>
      <c r="E6" s="11" t="n">
        <v>1</v>
      </c>
      <c r="F6" s="6" t="s">
        <v>223</v>
      </c>
      <c r="G6" s="11" t="n">
        <v>0</v>
      </c>
      <c r="H6" s="12" t="n">
        <f aca="false">IFERROR(G6/E6,0)</f>
        <v>0</v>
      </c>
      <c r="I6" s="6" t="s">
        <v>219</v>
      </c>
      <c r="J6" s="6" t="s">
        <v>224</v>
      </c>
      <c r="K6" s="9"/>
    </row>
    <row r="7" customFormat="false" ht="15" hidden="false" customHeight="false" outlineLevel="0" collapsed="false">
      <c r="A7" s="6" t="s">
        <v>66</v>
      </c>
      <c r="B7" s="6" t="n">
        <v>1</v>
      </c>
      <c r="C7" s="6" t="s">
        <v>225</v>
      </c>
      <c r="D7" s="6" t="s">
        <v>226</v>
      </c>
      <c r="E7" s="11" t="n">
        <v>20</v>
      </c>
      <c r="F7" s="6" t="s">
        <v>227</v>
      </c>
      <c r="G7" s="11" t="n">
        <v>14</v>
      </c>
      <c r="H7" s="12" t="n">
        <f aca="false">IFERROR(G7/E7,0)</f>
        <v>0.7</v>
      </c>
      <c r="I7" s="6" t="s">
        <v>214</v>
      </c>
      <c r="J7" s="6" t="s">
        <v>228</v>
      </c>
      <c r="K7" s="9"/>
    </row>
    <row r="8" customFormat="false" ht="15" hidden="false" customHeight="false" outlineLevel="0" collapsed="false">
      <c r="A8" s="6" t="s">
        <v>66</v>
      </c>
      <c r="B8" s="6" t="n">
        <v>2</v>
      </c>
      <c r="C8" s="6" t="s">
        <v>229</v>
      </c>
      <c r="D8" s="6" t="s">
        <v>230</v>
      </c>
      <c r="E8" s="11" t="n">
        <v>50</v>
      </c>
      <c r="F8" s="6" t="s">
        <v>231</v>
      </c>
      <c r="G8" s="11" t="n">
        <v>0</v>
      </c>
      <c r="H8" s="12" t="n">
        <f aca="false">IFERROR(G8/E8,0)</f>
        <v>0</v>
      </c>
      <c r="I8" s="6" t="s">
        <v>219</v>
      </c>
      <c r="J8" s="6" t="s">
        <v>232</v>
      </c>
      <c r="K8" s="9"/>
    </row>
    <row r="9" customFormat="false" ht="15" hidden="false" customHeight="false" outlineLevel="0" collapsed="false">
      <c r="A9" s="6" t="s">
        <v>66</v>
      </c>
      <c r="B9" s="6" t="n">
        <v>3</v>
      </c>
      <c r="C9" s="6" t="s">
        <v>233</v>
      </c>
      <c r="D9" s="6" t="s">
        <v>234</v>
      </c>
      <c r="E9" s="11" t="n">
        <v>1000</v>
      </c>
      <c r="F9" s="6" t="s">
        <v>235</v>
      </c>
      <c r="G9" s="11" t="n">
        <v>0</v>
      </c>
      <c r="H9" s="12" t="n">
        <f aca="false">IFERROR(G9/E9,0)</f>
        <v>0</v>
      </c>
      <c r="I9" s="6" t="s">
        <v>219</v>
      </c>
      <c r="J9" s="6" t="s">
        <v>236</v>
      </c>
      <c r="K9" s="9"/>
    </row>
    <row r="10" customFormat="false" ht="15" hidden="false" customHeight="false" outlineLevel="0" collapsed="false">
      <c r="A10" s="6" t="s">
        <v>66</v>
      </c>
      <c r="B10" s="6" t="n">
        <v>4</v>
      </c>
      <c r="C10" s="6" t="s">
        <v>237</v>
      </c>
      <c r="D10" s="6" t="s">
        <v>238</v>
      </c>
      <c r="E10" s="11" t="n">
        <v>1</v>
      </c>
      <c r="F10" s="6" t="s">
        <v>239</v>
      </c>
      <c r="G10" s="11" t="n">
        <v>0</v>
      </c>
      <c r="H10" s="12" t="n">
        <f aca="false">IFERROR(G10/E10,0)</f>
        <v>0</v>
      </c>
      <c r="I10" s="6" t="s">
        <v>219</v>
      </c>
      <c r="J10" s="6" t="s">
        <v>240</v>
      </c>
      <c r="K10" s="9"/>
    </row>
    <row r="11" customFormat="false" ht="15" hidden="false" customHeight="false" outlineLevel="0" collapsed="false">
      <c r="A11" s="6" t="s">
        <v>74</v>
      </c>
      <c r="B11" s="6" t="n">
        <v>1</v>
      </c>
      <c r="C11" s="6" t="s">
        <v>241</v>
      </c>
      <c r="D11" s="6" t="s">
        <v>242</v>
      </c>
      <c r="E11" s="11" t="n">
        <v>22</v>
      </c>
      <c r="F11" s="6" t="s">
        <v>231</v>
      </c>
      <c r="G11" s="11" t="n">
        <v>9</v>
      </c>
      <c r="H11" s="12" t="n">
        <f aca="false">IFERROR(G11/E11,0)</f>
        <v>0.409090909090909</v>
      </c>
      <c r="I11" s="6" t="s">
        <v>214</v>
      </c>
      <c r="J11" s="6" t="s">
        <v>243</v>
      </c>
      <c r="K11" s="9"/>
    </row>
    <row r="12" customFormat="false" ht="15" hidden="false" customHeight="false" outlineLevel="0" collapsed="false">
      <c r="A12" s="6" t="s">
        <v>74</v>
      </c>
      <c r="B12" s="6" t="n">
        <v>2</v>
      </c>
      <c r="C12" s="6" t="s">
        <v>244</v>
      </c>
      <c r="D12" s="6" t="s">
        <v>245</v>
      </c>
      <c r="E12" s="11" t="n">
        <v>1</v>
      </c>
      <c r="F12" s="6" t="s">
        <v>246</v>
      </c>
      <c r="G12" s="11" t="n">
        <v>0</v>
      </c>
      <c r="H12" s="12" t="n">
        <f aca="false">IFERROR(G12/E12,0)</f>
        <v>0</v>
      </c>
      <c r="I12" s="6" t="s">
        <v>219</v>
      </c>
      <c r="J12" s="6" t="s">
        <v>247</v>
      </c>
      <c r="K12" s="9"/>
    </row>
    <row r="13" customFormat="false" ht="15" hidden="false" customHeight="false" outlineLevel="0" collapsed="false">
      <c r="A13" s="6" t="s">
        <v>74</v>
      </c>
      <c r="B13" s="6" t="n">
        <v>3</v>
      </c>
      <c r="C13" s="6" t="s">
        <v>248</v>
      </c>
      <c r="D13" s="6" t="s">
        <v>249</v>
      </c>
      <c r="E13" s="11" t="n">
        <v>22</v>
      </c>
      <c r="F13" s="6" t="s">
        <v>250</v>
      </c>
      <c r="G13" s="11" t="n">
        <v>0</v>
      </c>
      <c r="H13" s="12" t="n">
        <f aca="false">IFERROR(G13/E13,0)</f>
        <v>0</v>
      </c>
      <c r="I13" s="6" t="s">
        <v>219</v>
      </c>
      <c r="J13" s="6" t="s">
        <v>251</v>
      </c>
      <c r="K13" s="9"/>
    </row>
    <row r="14" customFormat="false" ht="15" hidden="false" customHeight="false" outlineLevel="0" collapsed="false">
      <c r="A14" s="6" t="s">
        <v>74</v>
      </c>
      <c r="B14" s="6" t="n">
        <v>4</v>
      </c>
      <c r="C14" s="6" t="s">
        <v>252</v>
      </c>
      <c r="D14" s="6" t="s">
        <v>253</v>
      </c>
      <c r="E14" s="11" t="n">
        <v>1</v>
      </c>
      <c r="F14" s="6" t="s">
        <v>239</v>
      </c>
      <c r="G14" s="11" t="n">
        <v>0</v>
      </c>
      <c r="H14" s="12" t="n">
        <f aca="false">IFERROR(G14/E14,0)</f>
        <v>0</v>
      </c>
      <c r="I14" s="6" t="s">
        <v>219</v>
      </c>
      <c r="J14" s="6" t="s">
        <v>254</v>
      </c>
      <c r="K14" s="9"/>
    </row>
    <row r="15" customFormat="false" ht="15" hidden="false" customHeight="false" outlineLevel="0" collapsed="false">
      <c r="A15" s="6" t="s">
        <v>85</v>
      </c>
      <c r="B15" s="6" t="n">
        <v>1</v>
      </c>
      <c r="C15" s="6" t="s">
        <v>255</v>
      </c>
      <c r="D15" s="6" t="s">
        <v>256</v>
      </c>
      <c r="E15" s="11" t="n">
        <v>1</v>
      </c>
      <c r="F15" s="6" t="s">
        <v>257</v>
      </c>
      <c r="G15" s="11" t="n">
        <v>1</v>
      </c>
      <c r="H15" s="12" t="n">
        <f aca="false">IFERROR(G15/E15,0)</f>
        <v>1</v>
      </c>
      <c r="I15" s="6" t="s">
        <v>205</v>
      </c>
      <c r="J15" s="6" t="s">
        <v>258</v>
      </c>
      <c r="K15" s="9"/>
    </row>
    <row r="16" customFormat="false" ht="23.85" hidden="false" customHeight="false" outlineLevel="0" collapsed="false">
      <c r="A16" s="6" t="s">
        <v>85</v>
      </c>
      <c r="B16" s="6" t="n">
        <v>2</v>
      </c>
      <c r="C16" s="6" t="s">
        <v>259</v>
      </c>
      <c r="D16" s="6" t="s">
        <v>260</v>
      </c>
      <c r="E16" s="11" t="n">
        <v>10</v>
      </c>
      <c r="F16" s="6" t="s">
        <v>261</v>
      </c>
      <c r="G16" s="11" t="n">
        <v>6</v>
      </c>
      <c r="H16" s="12" t="n">
        <f aca="false">IFERROR(G16/E16,0)</f>
        <v>0.6</v>
      </c>
      <c r="I16" s="6" t="s">
        <v>214</v>
      </c>
      <c r="J16" s="6" t="s">
        <v>262</v>
      </c>
      <c r="K16" s="9"/>
    </row>
    <row r="17" customFormat="false" ht="23.85" hidden="false" customHeight="false" outlineLevel="0" collapsed="false">
      <c r="A17" s="6" t="s">
        <v>85</v>
      </c>
      <c r="B17" s="6" t="n">
        <v>3</v>
      </c>
      <c r="C17" s="6" t="s">
        <v>263</v>
      </c>
      <c r="D17" s="6" t="s">
        <v>264</v>
      </c>
      <c r="E17" s="11" t="n">
        <v>1</v>
      </c>
      <c r="F17" s="6" t="s">
        <v>265</v>
      </c>
      <c r="G17" s="11" t="n">
        <v>0</v>
      </c>
      <c r="H17" s="12" t="n">
        <f aca="false">IFERROR(G17/E17,0)</f>
        <v>0</v>
      </c>
      <c r="I17" s="6" t="s">
        <v>219</v>
      </c>
      <c r="J17" s="6" t="s">
        <v>266</v>
      </c>
      <c r="K17" s="9"/>
    </row>
    <row r="18" customFormat="false" ht="15" hidden="false" customHeight="false" outlineLevel="0" collapsed="false">
      <c r="A18" s="6" t="s">
        <v>85</v>
      </c>
      <c r="B18" s="6" t="n">
        <v>4</v>
      </c>
      <c r="C18" s="6" t="s">
        <v>267</v>
      </c>
      <c r="D18" s="6" t="s">
        <v>268</v>
      </c>
      <c r="E18" s="11" t="n">
        <v>1000</v>
      </c>
      <c r="F18" s="6" t="s">
        <v>269</v>
      </c>
      <c r="G18" s="11" t="n">
        <v>0</v>
      </c>
      <c r="H18" s="12" t="n">
        <f aca="false">IFERROR(G18/E18,0)</f>
        <v>0</v>
      </c>
      <c r="I18" s="6" t="s">
        <v>219</v>
      </c>
      <c r="J18" s="6" t="s">
        <v>270</v>
      </c>
      <c r="K18" s="9"/>
    </row>
    <row r="19" customFormat="false" ht="15" hidden="false" customHeight="false" outlineLevel="0" collapsed="false">
      <c r="A19" s="6" t="s">
        <v>91</v>
      </c>
      <c r="B19" s="6" t="n">
        <v>1</v>
      </c>
      <c r="C19" s="6" t="s">
        <v>271</v>
      </c>
      <c r="D19" s="6" t="s">
        <v>272</v>
      </c>
      <c r="E19" s="11" t="n">
        <v>1000</v>
      </c>
      <c r="F19" s="6" t="s">
        <v>273</v>
      </c>
      <c r="G19" s="11" t="n">
        <v>1000</v>
      </c>
      <c r="H19" s="12" t="n">
        <f aca="false">IFERROR(G19/E19,0)</f>
        <v>1</v>
      </c>
      <c r="I19" s="6" t="s">
        <v>205</v>
      </c>
      <c r="J19" s="6" t="s">
        <v>274</v>
      </c>
      <c r="K19" s="9"/>
    </row>
    <row r="20" customFormat="false" ht="15" hidden="false" customHeight="false" outlineLevel="0" collapsed="false">
      <c r="A20" s="6" t="s">
        <v>91</v>
      </c>
      <c r="B20" s="6" t="n">
        <v>2</v>
      </c>
      <c r="C20" s="6" t="s">
        <v>275</v>
      </c>
      <c r="D20" s="6" t="s">
        <v>276</v>
      </c>
      <c r="E20" s="11" t="n">
        <v>200</v>
      </c>
      <c r="F20" s="6" t="s">
        <v>277</v>
      </c>
      <c r="G20" s="11" t="n">
        <v>74</v>
      </c>
      <c r="H20" s="12" t="n">
        <f aca="false">IFERROR(G20/E20,0)</f>
        <v>0.37</v>
      </c>
      <c r="I20" s="6" t="s">
        <v>214</v>
      </c>
      <c r="J20" s="6" t="s">
        <v>278</v>
      </c>
      <c r="K20" s="9"/>
    </row>
    <row r="21" customFormat="false" ht="15" hidden="false" customHeight="false" outlineLevel="0" collapsed="false">
      <c r="A21" s="6" t="s">
        <v>91</v>
      </c>
      <c r="B21" s="6" t="n">
        <v>3</v>
      </c>
      <c r="C21" s="6" t="s">
        <v>279</v>
      </c>
      <c r="D21" s="6" t="s">
        <v>280</v>
      </c>
      <c r="E21" s="11" t="n">
        <v>90</v>
      </c>
      <c r="F21" s="6" t="s">
        <v>281</v>
      </c>
      <c r="G21" s="11" t="n">
        <v>0</v>
      </c>
      <c r="H21" s="12" t="n">
        <f aca="false">IFERROR(G21/E21,0)</f>
        <v>0</v>
      </c>
      <c r="I21" s="6" t="s">
        <v>219</v>
      </c>
      <c r="J21" s="6" t="s">
        <v>282</v>
      </c>
      <c r="K21" s="9"/>
    </row>
    <row r="22" customFormat="false" ht="15" hidden="false" customHeight="false" outlineLevel="0" collapsed="false">
      <c r="A22" s="6" t="s">
        <v>91</v>
      </c>
      <c r="B22" s="6" t="n">
        <v>4</v>
      </c>
      <c r="C22" s="6" t="s">
        <v>283</v>
      </c>
      <c r="D22" s="6" t="s">
        <v>284</v>
      </c>
      <c r="E22" s="11" t="n">
        <v>1</v>
      </c>
      <c r="F22" s="6" t="s">
        <v>239</v>
      </c>
      <c r="G22" s="11" t="n">
        <v>0</v>
      </c>
      <c r="H22" s="12" t="n">
        <f aca="false">IFERROR(G22/E22,0)</f>
        <v>0</v>
      </c>
      <c r="I22" s="6" t="s">
        <v>219</v>
      </c>
      <c r="J22" s="6" t="s">
        <v>285</v>
      </c>
      <c r="K22" s="9"/>
    </row>
    <row r="23" customFormat="false" ht="15" hidden="false" customHeight="false" outlineLevel="0" collapsed="false">
      <c r="A23" s="6" t="s">
        <v>100</v>
      </c>
      <c r="B23" s="6" t="n">
        <v>1</v>
      </c>
      <c r="C23" s="6" t="s">
        <v>286</v>
      </c>
      <c r="D23" s="6" t="s">
        <v>287</v>
      </c>
      <c r="E23" s="11" t="n">
        <v>1</v>
      </c>
      <c r="F23" s="6" t="s">
        <v>288</v>
      </c>
      <c r="G23" s="11" t="n">
        <v>0</v>
      </c>
      <c r="H23" s="12" t="n">
        <f aca="false">IFERROR(G23/E23,0)</f>
        <v>0</v>
      </c>
      <c r="I23" s="6" t="s">
        <v>219</v>
      </c>
      <c r="J23" s="6" t="s">
        <v>289</v>
      </c>
      <c r="K23" s="9"/>
    </row>
    <row r="24" customFormat="false" ht="15" hidden="false" customHeight="false" outlineLevel="0" collapsed="false">
      <c r="A24" s="6" t="s">
        <v>100</v>
      </c>
      <c r="B24" s="6" t="n">
        <v>2</v>
      </c>
      <c r="C24" s="6" t="s">
        <v>290</v>
      </c>
      <c r="D24" s="6" t="s">
        <v>291</v>
      </c>
      <c r="E24" s="11" t="n">
        <v>2000</v>
      </c>
      <c r="F24" s="6" t="s">
        <v>273</v>
      </c>
      <c r="G24" s="11" t="n">
        <v>0</v>
      </c>
      <c r="H24" s="12" t="n">
        <f aca="false">IFERROR(G24/E24,0)</f>
        <v>0</v>
      </c>
      <c r="I24" s="6" t="s">
        <v>219</v>
      </c>
      <c r="J24" s="6" t="s">
        <v>292</v>
      </c>
      <c r="K24" s="9"/>
    </row>
    <row r="25" customFormat="false" ht="15" hidden="false" customHeight="false" outlineLevel="0" collapsed="false">
      <c r="A25" s="6" t="s">
        <v>100</v>
      </c>
      <c r="B25" s="6" t="n">
        <v>3</v>
      </c>
      <c r="C25" s="6" t="s">
        <v>293</v>
      </c>
      <c r="D25" s="6" t="s">
        <v>294</v>
      </c>
      <c r="E25" s="11" t="n">
        <v>1</v>
      </c>
      <c r="F25" s="6" t="s">
        <v>239</v>
      </c>
      <c r="G25" s="11" t="n">
        <v>0</v>
      </c>
      <c r="H25" s="12" t="n">
        <f aca="false">IFERROR(G25/E25,0)</f>
        <v>0</v>
      </c>
      <c r="I25" s="6" t="s">
        <v>219</v>
      </c>
      <c r="J25" s="6" t="s">
        <v>295</v>
      </c>
      <c r="K25" s="9"/>
    </row>
    <row r="26" customFormat="false" ht="15" hidden="false" customHeight="false" outlineLevel="0" collapsed="false">
      <c r="A26" s="6" t="s">
        <v>100</v>
      </c>
      <c r="B26" s="6" t="n">
        <v>4</v>
      </c>
      <c r="C26" s="6" t="s">
        <v>296</v>
      </c>
      <c r="D26" s="6" t="s">
        <v>297</v>
      </c>
      <c r="E26" s="11" t="n">
        <v>500</v>
      </c>
      <c r="F26" s="6" t="s">
        <v>298</v>
      </c>
      <c r="G26" s="11" t="n">
        <v>0</v>
      </c>
      <c r="H26" s="12" t="n">
        <f aca="false">IFERROR(G26/E26,0)</f>
        <v>0</v>
      </c>
      <c r="I26" s="6" t="s">
        <v>219</v>
      </c>
      <c r="J26" s="6" t="s">
        <v>299</v>
      </c>
      <c r="K26" s="9"/>
    </row>
    <row r="27" customFormat="false" ht="15" hidden="false" customHeight="false" outlineLevel="0" collapsed="false">
      <c r="A27" s="6" t="s">
        <v>108</v>
      </c>
      <c r="B27" s="6" t="n">
        <v>1</v>
      </c>
      <c r="C27" s="6" t="s">
        <v>300</v>
      </c>
      <c r="D27" s="6" t="s">
        <v>301</v>
      </c>
      <c r="E27" s="11" t="n">
        <v>10</v>
      </c>
      <c r="F27" s="6" t="s">
        <v>302</v>
      </c>
      <c r="G27" s="11" t="n">
        <v>10</v>
      </c>
      <c r="H27" s="12" t="n">
        <f aca="false">IFERROR(G27/E27,0)</f>
        <v>1</v>
      </c>
      <c r="I27" s="6" t="s">
        <v>205</v>
      </c>
      <c r="J27" s="6" t="s">
        <v>303</v>
      </c>
      <c r="K27" s="9"/>
    </row>
    <row r="28" customFormat="false" ht="15" hidden="false" customHeight="false" outlineLevel="0" collapsed="false">
      <c r="A28" s="6" t="s">
        <v>108</v>
      </c>
      <c r="B28" s="6" t="n">
        <v>2</v>
      </c>
      <c r="C28" s="6" t="s">
        <v>304</v>
      </c>
      <c r="D28" s="6" t="s">
        <v>305</v>
      </c>
      <c r="E28" s="11" t="n">
        <v>1</v>
      </c>
      <c r="F28" s="6" t="s">
        <v>306</v>
      </c>
      <c r="G28" s="11" t="n">
        <v>1</v>
      </c>
      <c r="H28" s="12" t="n">
        <f aca="false">IFERROR(G28/E28,0)</f>
        <v>1</v>
      </c>
      <c r="I28" s="6" t="s">
        <v>205</v>
      </c>
      <c r="J28" s="6" t="s">
        <v>307</v>
      </c>
      <c r="K28" s="9"/>
    </row>
    <row r="29" customFormat="false" ht="15" hidden="false" customHeight="false" outlineLevel="0" collapsed="false">
      <c r="A29" s="6" t="s">
        <v>108</v>
      </c>
      <c r="B29" s="6" t="n">
        <v>3</v>
      </c>
      <c r="C29" s="6" t="s">
        <v>271</v>
      </c>
      <c r="D29" s="6" t="s">
        <v>308</v>
      </c>
      <c r="E29" s="11" t="n">
        <v>500</v>
      </c>
      <c r="F29" s="6" t="s">
        <v>309</v>
      </c>
      <c r="G29" s="11" t="n">
        <v>500</v>
      </c>
      <c r="H29" s="12" t="n">
        <f aca="false">IFERROR(G29/E29,0)</f>
        <v>1</v>
      </c>
      <c r="I29" s="6" t="s">
        <v>205</v>
      </c>
      <c r="J29" s="6" t="s">
        <v>310</v>
      </c>
      <c r="K29" s="9"/>
    </row>
    <row r="30" customFormat="false" ht="15" hidden="false" customHeight="false" outlineLevel="0" collapsed="false">
      <c r="A30" s="6" t="s">
        <v>108</v>
      </c>
      <c r="B30" s="6" t="n">
        <v>4</v>
      </c>
      <c r="C30" s="6" t="s">
        <v>311</v>
      </c>
      <c r="D30" s="6" t="s">
        <v>312</v>
      </c>
      <c r="E30" s="11" t="n">
        <v>10</v>
      </c>
      <c r="F30" s="6" t="s">
        <v>302</v>
      </c>
      <c r="G30" s="11" t="n">
        <v>9</v>
      </c>
      <c r="H30" s="12" t="n">
        <f aca="false">IFERROR(G30/E30,0)</f>
        <v>0.9</v>
      </c>
      <c r="I30" s="6" t="s">
        <v>214</v>
      </c>
      <c r="J30" s="6" t="s">
        <v>313</v>
      </c>
      <c r="K30" s="9"/>
    </row>
    <row r="31" customFormat="false" ht="15" hidden="false" customHeight="false" outlineLevel="0" collapsed="false">
      <c r="A31" s="6" t="s">
        <v>118</v>
      </c>
      <c r="B31" s="6" t="n">
        <v>1</v>
      </c>
      <c r="C31" s="6" t="s">
        <v>314</v>
      </c>
      <c r="D31" s="6" t="s">
        <v>315</v>
      </c>
      <c r="E31" s="11" t="n">
        <v>50</v>
      </c>
      <c r="F31" s="6" t="s">
        <v>316</v>
      </c>
      <c r="G31" s="11" t="n">
        <v>50</v>
      </c>
      <c r="H31" s="12" t="n">
        <f aca="false">IFERROR(G31/E31,0)</f>
        <v>1</v>
      </c>
      <c r="I31" s="6" t="s">
        <v>205</v>
      </c>
      <c r="J31" s="6" t="s">
        <v>317</v>
      </c>
      <c r="K31" s="9"/>
    </row>
    <row r="32" customFormat="false" ht="15" hidden="false" customHeight="false" outlineLevel="0" collapsed="false">
      <c r="A32" s="6" t="s">
        <v>118</v>
      </c>
      <c r="B32" s="6" t="n">
        <v>2</v>
      </c>
      <c r="C32" s="6" t="s">
        <v>318</v>
      </c>
      <c r="D32" s="6" t="s">
        <v>319</v>
      </c>
      <c r="E32" s="11" t="n">
        <v>6</v>
      </c>
      <c r="F32" s="6" t="s">
        <v>231</v>
      </c>
      <c r="G32" s="11" t="n">
        <v>4</v>
      </c>
      <c r="H32" s="12" t="n">
        <f aca="false">IFERROR(G32/E32,0)</f>
        <v>0.666666666666667</v>
      </c>
      <c r="I32" s="6" t="s">
        <v>214</v>
      </c>
      <c r="J32" s="6" t="s">
        <v>320</v>
      </c>
      <c r="K32" s="9"/>
    </row>
    <row r="33" customFormat="false" ht="15" hidden="false" customHeight="false" outlineLevel="0" collapsed="false">
      <c r="A33" s="6" t="s">
        <v>118</v>
      </c>
      <c r="B33" s="6" t="n">
        <v>3</v>
      </c>
      <c r="C33" s="6" t="s">
        <v>321</v>
      </c>
      <c r="D33" s="6" t="s">
        <v>322</v>
      </c>
      <c r="E33" s="11" t="n">
        <v>1000</v>
      </c>
      <c r="F33" s="6" t="s">
        <v>323</v>
      </c>
      <c r="G33" s="11" t="n">
        <v>0</v>
      </c>
      <c r="H33" s="12" t="n">
        <f aca="false">IFERROR(G33/E33,0)</f>
        <v>0</v>
      </c>
      <c r="I33" s="6" t="s">
        <v>219</v>
      </c>
      <c r="J33" s="6" t="s">
        <v>324</v>
      </c>
      <c r="K33" s="9"/>
    </row>
    <row r="34" customFormat="false" ht="15" hidden="false" customHeight="false" outlineLevel="0" collapsed="false">
      <c r="A34" s="6" t="s">
        <v>118</v>
      </c>
      <c r="B34" s="6" t="n">
        <v>4</v>
      </c>
      <c r="C34" s="6" t="s">
        <v>325</v>
      </c>
      <c r="D34" s="6" t="s">
        <v>326</v>
      </c>
      <c r="E34" s="11" t="n">
        <v>10000</v>
      </c>
      <c r="F34" s="6" t="s">
        <v>323</v>
      </c>
      <c r="G34" s="11" t="n">
        <v>0</v>
      </c>
      <c r="H34" s="12" t="n">
        <f aca="false">IFERROR(G34/E34,0)</f>
        <v>0</v>
      </c>
      <c r="I34" s="6" t="s">
        <v>219</v>
      </c>
      <c r="J34" s="6" t="s">
        <v>327</v>
      </c>
      <c r="K34" s="9"/>
    </row>
    <row r="35" customFormat="false" ht="15" hidden="false" customHeight="false" outlineLevel="0" collapsed="false">
      <c r="A35" s="6" t="s">
        <v>126</v>
      </c>
      <c r="B35" s="6" t="n">
        <v>1</v>
      </c>
      <c r="C35" s="6" t="s">
        <v>328</v>
      </c>
      <c r="D35" s="6" t="s">
        <v>329</v>
      </c>
      <c r="E35" s="11" t="n">
        <v>310</v>
      </c>
      <c r="F35" s="6" t="s">
        <v>330</v>
      </c>
      <c r="G35" s="11" t="n">
        <v>310</v>
      </c>
      <c r="H35" s="12" t="n">
        <f aca="false">IFERROR(G35/E35,0)</f>
        <v>1</v>
      </c>
      <c r="I35" s="6" t="s">
        <v>205</v>
      </c>
      <c r="J35" s="6" t="s">
        <v>331</v>
      </c>
      <c r="K35" s="9"/>
    </row>
    <row r="36" customFormat="false" ht="15" hidden="false" customHeight="false" outlineLevel="0" collapsed="false">
      <c r="A36" s="6" t="s">
        <v>126</v>
      </c>
      <c r="B36" s="6" t="n">
        <v>2</v>
      </c>
      <c r="C36" s="6" t="s">
        <v>332</v>
      </c>
      <c r="D36" s="6" t="s">
        <v>333</v>
      </c>
      <c r="E36" s="11" t="n">
        <v>310</v>
      </c>
      <c r="F36" s="6" t="s">
        <v>334</v>
      </c>
      <c r="G36" s="11" t="n">
        <v>140</v>
      </c>
      <c r="H36" s="12" t="n">
        <f aca="false">IFERROR(G36/E36,0)</f>
        <v>0.451612903225806</v>
      </c>
      <c r="I36" s="6" t="s">
        <v>214</v>
      </c>
      <c r="J36" s="6" t="s">
        <v>335</v>
      </c>
      <c r="K36" s="9"/>
    </row>
    <row r="37" customFormat="false" ht="15" hidden="false" customHeight="false" outlineLevel="0" collapsed="false">
      <c r="A37" s="6" t="s">
        <v>126</v>
      </c>
      <c r="B37" s="6" t="n">
        <v>3</v>
      </c>
      <c r="C37" s="6" t="s">
        <v>233</v>
      </c>
      <c r="D37" s="6" t="s">
        <v>336</v>
      </c>
      <c r="E37" s="11" t="n">
        <v>310</v>
      </c>
      <c r="F37" s="6" t="s">
        <v>334</v>
      </c>
      <c r="G37" s="11" t="n">
        <v>0</v>
      </c>
      <c r="H37" s="12" t="n">
        <f aca="false">IFERROR(G37/E37,0)</f>
        <v>0</v>
      </c>
      <c r="I37" s="6" t="s">
        <v>219</v>
      </c>
      <c r="J37" s="6" t="s">
        <v>337</v>
      </c>
      <c r="K37" s="9"/>
    </row>
    <row r="38" customFormat="false" ht="15" hidden="false" customHeight="false" outlineLevel="0" collapsed="false">
      <c r="A38" s="6" t="s">
        <v>126</v>
      </c>
      <c r="B38" s="6" t="n">
        <v>4</v>
      </c>
      <c r="C38" s="6" t="s">
        <v>237</v>
      </c>
      <c r="D38" s="6" t="s">
        <v>338</v>
      </c>
      <c r="E38" s="11" t="n">
        <v>100000</v>
      </c>
      <c r="F38" s="6" t="s">
        <v>339</v>
      </c>
      <c r="G38" s="11" t="n">
        <v>0</v>
      </c>
      <c r="H38" s="12" t="n">
        <f aca="false">IFERROR(G38/E38,0)</f>
        <v>0</v>
      </c>
      <c r="I38" s="6" t="s">
        <v>219</v>
      </c>
      <c r="J38" s="6" t="s">
        <v>340</v>
      </c>
      <c r="K38" s="9"/>
    </row>
    <row r="39" customFormat="false" ht="15" hidden="false" customHeight="false" outlineLevel="0" collapsed="false">
      <c r="A39" s="6" t="s">
        <v>134</v>
      </c>
      <c r="B39" s="6" t="n">
        <v>1</v>
      </c>
      <c r="C39" s="6" t="s">
        <v>293</v>
      </c>
      <c r="D39" s="6" t="s">
        <v>341</v>
      </c>
      <c r="E39" s="11" t="n">
        <v>5000</v>
      </c>
      <c r="F39" s="6" t="s">
        <v>342</v>
      </c>
      <c r="G39" s="11" t="n">
        <v>1240</v>
      </c>
      <c r="H39" s="12" t="n">
        <f aca="false">IFERROR(G39/E39,0)</f>
        <v>0.248</v>
      </c>
      <c r="I39" s="6" t="s">
        <v>214</v>
      </c>
      <c r="J39" s="6" t="s">
        <v>343</v>
      </c>
      <c r="K39" s="9"/>
    </row>
    <row r="40" customFormat="false" ht="15" hidden="false" customHeight="false" outlineLevel="0" collapsed="false">
      <c r="A40" s="6" t="s">
        <v>134</v>
      </c>
      <c r="B40" s="6" t="n">
        <v>2</v>
      </c>
      <c r="C40" s="6" t="s">
        <v>344</v>
      </c>
      <c r="D40" s="6" t="s">
        <v>345</v>
      </c>
      <c r="E40" s="11" t="n">
        <v>5000</v>
      </c>
      <c r="F40" s="6" t="s">
        <v>346</v>
      </c>
      <c r="G40" s="11" t="n">
        <v>0</v>
      </c>
      <c r="H40" s="12" t="n">
        <f aca="false">IFERROR(G40/E40,0)</f>
        <v>0</v>
      </c>
      <c r="I40" s="6" t="s">
        <v>219</v>
      </c>
      <c r="J40" s="6" t="s">
        <v>347</v>
      </c>
      <c r="K40" s="9"/>
    </row>
    <row r="41" customFormat="false" ht="15" hidden="false" customHeight="false" outlineLevel="0" collapsed="false">
      <c r="A41" s="6" t="s">
        <v>134</v>
      </c>
      <c r="B41" s="6" t="n">
        <v>3</v>
      </c>
      <c r="C41" s="6" t="s">
        <v>348</v>
      </c>
      <c r="D41" s="6" t="s">
        <v>349</v>
      </c>
      <c r="E41" s="11" t="n">
        <v>5000</v>
      </c>
      <c r="F41" s="6" t="s">
        <v>346</v>
      </c>
      <c r="G41" s="11" t="n">
        <v>0</v>
      </c>
      <c r="H41" s="12" t="n">
        <f aca="false">IFERROR(G41/E41,0)</f>
        <v>0</v>
      </c>
      <c r="I41" s="6" t="s">
        <v>219</v>
      </c>
      <c r="J41" s="6" t="s">
        <v>350</v>
      </c>
      <c r="K41" s="9"/>
    </row>
    <row r="42" customFormat="false" ht="15" hidden="false" customHeight="false" outlineLevel="0" collapsed="false">
      <c r="A42" s="6" t="s">
        <v>134</v>
      </c>
      <c r="B42" s="6" t="n">
        <v>4</v>
      </c>
      <c r="C42" s="6" t="s">
        <v>351</v>
      </c>
      <c r="D42" s="6" t="s">
        <v>352</v>
      </c>
      <c r="E42" s="11" t="n">
        <v>80</v>
      </c>
      <c r="F42" s="6" t="s">
        <v>353</v>
      </c>
      <c r="G42" s="11" t="n">
        <v>0</v>
      </c>
      <c r="H42" s="12" t="n">
        <f aca="false">IFERROR(G42/E42,0)</f>
        <v>0</v>
      </c>
      <c r="I42" s="6" t="s">
        <v>219</v>
      </c>
      <c r="J42" s="6" t="s">
        <v>354</v>
      </c>
      <c r="K42" s="9"/>
    </row>
    <row r="43" customFormat="false" ht="15" hidden="false" customHeight="false" outlineLevel="0" collapsed="false">
      <c r="A43" s="6" t="s">
        <v>142</v>
      </c>
      <c r="B43" s="6" t="n">
        <v>1</v>
      </c>
      <c r="C43" s="6" t="s">
        <v>225</v>
      </c>
      <c r="D43" s="6" t="s">
        <v>355</v>
      </c>
      <c r="E43" s="11" t="n">
        <v>100</v>
      </c>
      <c r="F43" s="6" t="s">
        <v>356</v>
      </c>
      <c r="G43" s="11" t="n">
        <v>100</v>
      </c>
      <c r="H43" s="12" t="n">
        <f aca="false">IFERROR(G43/E43,0)</f>
        <v>1</v>
      </c>
      <c r="I43" s="6" t="s">
        <v>205</v>
      </c>
      <c r="J43" s="6" t="s">
        <v>357</v>
      </c>
      <c r="K43" s="9"/>
    </row>
    <row r="44" customFormat="false" ht="15" hidden="false" customHeight="false" outlineLevel="0" collapsed="false">
      <c r="A44" s="6" t="s">
        <v>142</v>
      </c>
      <c r="B44" s="6" t="n">
        <v>2</v>
      </c>
      <c r="C44" s="6" t="s">
        <v>358</v>
      </c>
      <c r="D44" s="6" t="s">
        <v>359</v>
      </c>
      <c r="E44" s="11" t="n">
        <v>100</v>
      </c>
      <c r="F44" s="6" t="s">
        <v>360</v>
      </c>
      <c r="G44" s="11" t="n">
        <v>100</v>
      </c>
      <c r="H44" s="12" t="n">
        <f aca="false">IFERROR(G44/E44,0)</f>
        <v>1</v>
      </c>
      <c r="I44" s="6" t="s">
        <v>205</v>
      </c>
      <c r="J44" s="6" t="s">
        <v>361</v>
      </c>
      <c r="K44" s="9"/>
    </row>
    <row r="45" customFormat="false" ht="15" hidden="false" customHeight="false" outlineLevel="0" collapsed="false">
      <c r="A45" s="6" t="s">
        <v>142</v>
      </c>
      <c r="B45" s="6" t="n">
        <v>3</v>
      </c>
      <c r="C45" s="6" t="s">
        <v>362</v>
      </c>
      <c r="D45" s="6" t="s">
        <v>363</v>
      </c>
      <c r="E45" s="11" t="n">
        <v>100</v>
      </c>
      <c r="F45" s="6" t="s">
        <v>364</v>
      </c>
      <c r="G45" s="11" t="n">
        <v>41</v>
      </c>
      <c r="H45" s="12" t="n">
        <f aca="false">IFERROR(G45/E45,0)</f>
        <v>0.41</v>
      </c>
      <c r="I45" s="6" t="s">
        <v>214</v>
      </c>
      <c r="J45" s="6" t="s">
        <v>365</v>
      </c>
      <c r="K45" s="9"/>
    </row>
    <row r="46" customFormat="false" ht="15" hidden="false" customHeight="false" outlineLevel="0" collapsed="false">
      <c r="A46" s="6" t="s">
        <v>142</v>
      </c>
      <c r="B46" s="6" t="n">
        <v>4</v>
      </c>
      <c r="C46" s="6" t="s">
        <v>366</v>
      </c>
      <c r="D46" s="6" t="s">
        <v>367</v>
      </c>
      <c r="E46" s="11" t="n">
        <v>100</v>
      </c>
      <c r="F46" s="6" t="s">
        <v>368</v>
      </c>
      <c r="G46" s="11" t="n">
        <v>0</v>
      </c>
      <c r="H46" s="12" t="n">
        <f aca="false">IFERROR(G46/E46,0)</f>
        <v>0</v>
      </c>
      <c r="I46" s="6" t="s">
        <v>219</v>
      </c>
      <c r="J46" s="6" t="s">
        <v>369</v>
      </c>
      <c r="K46" s="9"/>
    </row>
    <row r="47" customFormat="false" ht="15" hidden="false" customHeight="false" outlineLevel="0" collapsed="false">
      <c r="A47" s="6" t="s">
        <v>142</v>
      </c>
      <c r="B47" s="6" t="n">
        <v>5</v>
      </c>
      <c r="C47" s="6" t="s">
        <v>370</v>
      </c>
      <c r="D47" s="6" t="s">
        <v>371</v>
      </c>
      <c r="E47" s="11" t="n">
        <v>100</v>
      </c>
      <c r="F47" s="6" t="s">
        <v>372</v>
      </c>
      <c r="G47" s="11" t="n">
        <v>0</v>
      </c>
      <c r="H47" s="12" t="n">
        <f aca="false">IFERROR(G47/E47,0)</f>
        <v>0</v>
      </c>
      <c r="I47" s="6" t="s">
        <v>219</v>
      </c>
      <c r="J47" s="6" t="s">
        <v>373</v>
      </c>
      <c r="K47" s="9"/>
    </row>
    <row r="48" customFormat="false" ht="15" hidden="false" customHeight="false" outlineLevel="0" collapsed="false">
      <c r="A48" s="6" t="s">
        <v>149</v>
      </c>
      <c r="B48" s="6" t="n">
        <v>1</v>
      </c>
      <c r="C48" s="6" t="s">
        <v>374</v>
      </c>
      <c r="D48" s="6" t="s">
        <v>375</v>
      </c>
      <c r="E48" s="11" t="n">
        <v>20</v>
      </c>
      <c r="F48" s="6" t="s">
        <v>376</v>
      </c>
      <c r="G48" s="11" t="n">
        <v>0</v>
      </c>
      <c r="H48" s="12" t="n">
        <f aca="false">IFERROR(G48/E48,0)</f>
        <v>0</v>
      </c>
      <c r="I48" s="6" t="s">
        <v>214</v>
      </c>
      <c r="J48" s="6" t="s">
        <v>377</v>
      </c>
      <c r="K48" s="9"/>
    </row>
    <row r="49" customFormat="false" ht="15" hidden="false" customHeight="false" outlineLevel="0" collapsed="false">
      <c r="A49" s="6" t="s">
        <v>149</v>
      </c>
      <c r="B49" s="6" t="n">
        <v>2</v>
      </c>
      <c r="C49" s="6" t="s">
        <v>378</v>
      </c>
      <c r="D49" s="6" t="s">
        <v>379</v>
      </c>
      <c r="E49" s="11" t="n">
        <v>10000</v>
      </c>
      <c r="F49" s="6" t="s">
        <v>380</v>
      </c>
      <c r="G49" s="11" t="n">
        <v>0</v>
      </c>
      <c r="H49" s="12" t="n">
        <f aca="false">IFERROR(G49/E49,0)</f>
        <v>0</v>
      </c>
      <c r="I49" s="6" t="s">
        <v>219</v>
      </c>
      <c r="J49" s="6" t="s">
        <v>381</v>
      </c>
      <c r="K49" s="9"/>
    </row>
    <row r="50" customFormat="false" ht="15" hidden="false" customHeight="false" outlineLevel="0" collapsed="false">
      <c r="A50" s="6" t="s">
        <v>149</v>
      </c>
      <c r="B50" s="6" t="n">
        <v>3</v>
      </c>
      <c r="C50" s="6" t="s">
        <v>248</v>
      </c>
      <c r="D50" s="6" t="s">
        <v>382</v>
      </c>
      <c r="E50" s="11" t="n">
        <v>2</v>
      </c>
      <c r="F50" s="6" t="s">
        <v>383</v>
      </c>
      <c r="G50" s="11" t="n">
        <v>0</v>
      </c>
      <c r="H50" s="12" t="n">
        <f aca="false">IFERROR(G50/E50,0)</f>
        <v>0</v>
      </c>
      <c r="I50" s="6" t="s">
        <v>219</v>
      </c>
      <c r="J50" s="6" t="s">
        <v>384</v>
      </c>
      <c r="K50" s="9"/>
    </row>
    <row r="51" customFormat="false" ht="15" hidden="false" customHeight="false" outlineLevel="0" collapsed="false">
      <c r="A51" s="6" t="s">
        <v>149</v>
      </c>
      <c r="B51" s="6" t="n">
        <v>4</v>
      </c>
      <c r="C51" s="6" t="s">
        <v>385</v>
      </c>
      <c r="D51" s="6" t="s">
        <v>386</v>
      </c>
      <c r="E51" s="11" t="n">
        <v>1</v>
      </c>
      <c r="F51" s="6" t="s">
        <v>387</v>
      </c>
      <c r="G51" s="11" t="n">
        <v>0</v>
      </c>
      <c r="H51" s="12" t="n">
        <f aca="false">IFERROR(G51/E51,0)</f>
        <v>0</v>
      </c>
      <c r="I51" s="6" t="s">
        <v>219</v>
      </c>
      <c r="J51" s="6" t="s">
        <v>388</v>
      </c>
      <c r="K51" s="9"/>
    </row>
    <row r="52" customFormat="false" ht="15" hidden="false" customHeight="false" outlineLevel="0" collapsed="false">
      <c r="A52" s="6" t="s">
        <v>157</v>
      </c>
      <c r="B52" s="6" t="n">
        <v>1</v>
      </c>
      <c r="C52" s="6" t="s">
        <v>389</v>
      </c>
      <c r="D52" s="6" t="s">
        <v>390</v>
      </c>
      <c r="E52" s="11" t="n">
        <v>10</v>
      </c>
      <c r="F52" s="6" t="s">
        <v>391</v>
      </c>
      <c r="G52" s="11" t="n">
        <v>4</v>
      </c>
      <c r="H52" s="12" t="n">
        <f aca="false">IFERROR(G52/E52,0)</f>
        <v>0.4</v>
      </c>
      <c r="I52" s="6" t="s">
        <v>214</v>
      </c>
      <c r="J52" s="6" t="s">
        <v>392</v>
      </c>
      <c r="K52" s="9"/>
    </row>
    <row r="53" customFormat="false" ht="15" hidden="false" customHeight="false" outlineLevel="0" collapsed="false">
      <c r="A53" s="6" t="s">
        <v>157</v>
      </c>
      <c r="B53" s="6" t="n">
        <v>2</v>
      </c>
      <c r="C53" s="6" t="s">
        <v>233</v>
      </c>
      <c r="D53" s="6" t="s">
        <v>393</v>
      </c>
      <c r="E53" s="11" t="n">
        <v>10</v>
      </c>
      <c r="F53" s="6" t="s">
        <v>391</v>
      </c>
      <c r="G53" s="11" t="n">
        <v>0</v>
      </c>
      <c r="H53" s="12" t="n">
        <f aca="false">IFERROR(G53/E53,0)</f>
        <v>0</v>
      </c>
      <c r="I53" s="6" t="s">
        <v>219</v>
      </c>
      <c r="J53" s="6" t="s">
        <v>394</v>
      </c>
      <c r="K53" s="9"/>
    </row>
    <row r="54" customFormat="false" ht="15" hidden="false" customHeight="false" outlineLevel="0" collapsed="false">
      <c r="A54" s="6" t="s">
        <v>157</v>
      </c>
      <c r="B54" s="6" t="n">
        <v>3</v>
      </c>
      <c r="C54" s="6" t="s">
        <v>395</v>
      </c>
      <c r="D54" s="6" t="s">
        <v>396</v>
      </c>
      <c r="E54" s="11" t="n">
        <v>1</v>
      </c>
      <c r="F54" s="6" t="s">
        <v>239</v>
      </c>
      <c r="G54" s="11" t="n">
        <v>0</v>
      </c>
      <c r="H54" s="12" t="n">
        <f aca="false">IFERROR(G54/E54,0)</f>
        <v>0</v>
      </c>
      <c r="I54" s="6" t="s">
        <v>219</v>
      </c>
      <c r="J54" s="6" t="s">
        <v>397</v>
      </c>
      <c r="K54" s="9"/>
    </row>
    <row r="55" customFormat="false" ht="15" hidden="false" customHeight="false" outlineLevel="0" collapsed="false">
      <c r="A55" s="6" t="s">
        <v>157</v>
      </c>
      <c r="B55" s="6" t="n">
        <v>4</v>
      </c>
      <c r="C55" s="6" t="s">
        <v>398</v>
      </c>
      <c r="D55" s="6" t="s">
        <v>399</v>
      </c>
      <c r="E55" s="11" t="n">
        <v>1000</v>
      </c>
      <c r="F55" s="6" t="s">
        <v>400</v>
      </c>
      <c r="G55" s="11" t="n">
        <v>0</v>
      </c>
      <c r="H55" s="12" t="n">
        <f aca="false">IFERROR(G55/E55,0)</f>
        <v>0</v>
      </c>
      <c r="I55" s="6" t="s">
        <v>219</v>
      </c>
      <c r="J55" s="6" t="s">
        <v>401</v>
      </c>
      <c r="K55" s="9"/>
    </row>
  </sheetData>
  <autoFilter ref="A1:K55"/>
  <dataValidations count="1">
    <dataValidation allowBlank="true" errorStyle="stop" operator="between" showDropDown="false" showErrorMessage="false" showInputMessage="false" sqref="I2:I500" type="list">
      <formula1>"Done,Now,Locked"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4" min="4" style="0" width="15"/>
    <col collapsed="false" customWidth="true" hidden="false" outlineLevel="0" max="5" min="5" style="0" width="24"/>
    <col collapsed="false" customWidth="true" hidden="false" outlineLevel="0" max="6" min="6" style="0" width="48"/>
    <col collapsed="false" customWidth="true" hidden="false" outlineLevel="0" max="7" min="7" style="0" width="13"/>
    <col collapsed="false" customWidth="true" hidden="false" outlineLevel="0" max="9" min="8" style="0" width="8"/>
    <col collapsed="false" customWidth="true" hidden="false" outlineLevel="0" max="10" min="10" style="0" width="9"/>
    <col collapsed="false" customWidth="true" hidden="false" outlineLevel="0" max="11" min="11" style="0" width="8"/>
    <col collapsed="false" customWidth="true" hidden="false" outlineLevel="0" max="12" min="12" style="0" width="9"/>
    <col collapsed="false" customWidth="true" hidden="false" outlineLevel="0" max="13" min="13" style="0" width="26"/>
    <col collapsed="false" customWidth="true" hidden="false" outlineLevel="0" max="14" min="14" style="0" width="28"/>
    <col collapsed="false" customWidth="true" hidden="false" outlineLevel="0" max="15" min="15" style="0" width="36"/>
    <col collapsed="false" customWidth="true" hidden="false" outlineLevel="0" max="16" min="16" style="0" width="34"/>
  </cols>
  <sheetData>
    <row r="1" customFormat="false" ht="30" hidden="false" customHeight="true" outlineLevel="0" collapsed="false">
      <c r="A1" s="5" t="s">
        <v>402</v>
      </c>
      <c r="B1" s="5" t="s">
        <v>39</v>
      </c>
      <c r="C1" s="5" t="s">
        <v>403</v>
      </c>
      <c r="D1" s="5" t="s">
        <v>404</v>
      </c>
      <c r="E1" s="5" t="s">
        <v>405</v>
      </c>
      <c r="F1" s="5" t="s">
        <v>406</v>
      </c>
      <c r="G1" s="5" t="s">
        <v>43</v>
      </c>
      <c r="H1" s="5" t="s">
        <v>13</v>
      </c>
      <c r="I1" s="5" t="s">
        <v>407</v>
      </c>
      <c r="J1" s="5" t="s">
        <v>198</v>
      </c>
      <c r="K1" s="5" t="s">
        <v>196</v>
      </c>
      <c r="L1" s="5" t="s">
        <v>408</v>
      </c>
      <c r="M1" s="5" t="s">
        <v>409</v>
      </c>
      <c r="N1" s="5" t="s">
        <v>410</v>
      </c>
      <c r="O1" s="5" t="s">
        <v>411</v>
      </c>
      <c r="P1" s="5" t="s">
        <v>54</v>
      </c>
    </row>
    <row r="2" customFormat="false" ht="23.85" hidden="false" customHeight="false" outlineLevel="0" collapsed="false">
      <c r="A2" s="6" t="s">
        <v>412</v>
      </c>
      <c r="B2" s="6" t="s">
        <v>55</v>
      </c>
      <c r="C2" s="6" t="s">
        <v>413</v>
      </c>
      <c r="D2" s="6" t="s">
        <v>414</v>
      </c>
      <c r="E2" s="6" t="s">
        <v>415</v>
      </c>
      <c r="F2" s="6" t="s">
        <v>416</v>
      </c>
      <c r="G2" s="6" t="s">
        <v>417</v>
      </c>
      <c r="H2" s="6" t="n">
        <v>8</v>
      </c>
      <c r="I2" s="6" t="n">
        <v>10</v>
      </c>
      <c r="J2" s="11" t="n">
        <v>4</v>
      </c>
      <c r="K2" s="11" t="n">
        <v>10</v>
      </c>
      <c r="L2" s="12" t="n">
        <f aca="false">IFERROR(J2/K2,0)</f>
        <v>0.4</v>
      </c>
      <c r="M2" s="6" t="s">
        <v>418</v>
      </c>
      <c r="N2" s="6" t="s">
        <v>419</v>
      </c>
      <c r="O2" s="6"/>
      <c r="P2" s="9"/>
    </row>
    <row r="3" customFormat="false" ht="15" hidden="false" customHeight="false" outlineLevel="0" collapsed="false">
      <c r="A3" s="6" t="s">
        <v>420</v>
      </c>
      <c r="B3" s="6" t="s">
        <v>55</v>
      </c>
      <c r="C3" s="6" t="s">
        <v>421</v>
      </c>
      <c r="D3" s="6" t="s">
        <v>422</v>
      </c>
      <c r="E3" s="6" t="s">
        <v>423</v>
      </c>
      <c r="F3" s="6" t="s">
        <v>424</v>
      </c>
      <c r="G3" s="6" t="s">
        <v>417</v>
      </c>
      <c r="H3" s="6" t="n">
        <v>5</v>
      </c>
      <c r="I3" s="6" t="n">
        <v>7</v>
      </c>
      <c r="J3" s="11" t="n">
        <v>2</v>
      </c>
      <c r="K3" s="11" t="n">
        <v>10</v>
      </c>
      <c r="L3" s="12" t="n">
        <f aca="false">IFERROR(J3/K3,0)</f>
        <v>0.2</v>
      </c>
      <c r="M3" s="6" t="s">
        <v>425</v>
      </c>
      <c r="N3" s="6" t="s">
        <v>426</v>
      </c>
      <c r="O3" s="6" t="s">
        <v>427</v>
      </c>
      <c r="P3" s="9"/>
    </row>
    <row r="4" customFormat="false" ht="23.85" hidden="false" customHeight="false" outlineLevel="0" collapsed="false">
      <c r="A4" s="6" t="s">
        <v>428</v>
      </c>
      <c r="B4" s="6" t="s">
        <v>55</v>
      </c>
      <c r="C4" s="6" t="s">
        <v>429</v>
      </c>
      <c r="D4" s="6" t="s">
        <v>430</v>
      </c>
      <c r="E4" s="6" t="s">
        <v>431</v>
      </c>
      <c r="F4" s="6" t="s">
        <v>432</v>
      </c>
      <c r="G4" s="6" t="s">
        <v>417</v>
      </c>
      <c r="H4" s="6" t="n">
        <v>3</v>
      </c>
      <c r="I4" s="6" t="n">
        <v>200</v>
      </c>
      <c r="J4" s="11" t="n">
        <v>1</v>
      </c>
      <c r="K4" s="11" t="n">
        <v>10</v>
      </c>
      <c r="L4" s="12" t="n">
        <f aca="false">IFERROR(J4/K4,0)</f>
        <v>0.1</v>
      </c>
      <c r="M4" s="6" t="s">
        <v>418</v>
      </c>
      <c r="N4" s="6" t="s">
        <v>433</v>
      </c>
      <c r="O4" s="6" t="s">
        <v>434</v>
      </c>
      <c r="P4" s="9"/>
    </row>
    <row r="5" customFormat="false" ht="15" hidden="false" customHeight="false" outlineLevel="0" collapsed="false">
      <c r="A5" s="6" t="s">
        <v>435</v>
      </c>
      <c r="B5" s="6" t="s">
        <v>55</v>
      </c>
      <c r="C5" s="6" t="s">
        <v>436</v>
      </c>
      <c r="D5" s="6" t="s">
        <v>437</v>
      </c>
      <c r="E5" s="6" t="s">
        <v>438</v>
      </c>
      <c r="F5" s="6" t="s">
        <v>439</v>
      </c>
      <c r="G5" s="6" t="s">
        <v>103</v>
      </c>
      <c r="H5" s="6" t="n">
        <v>4</v>
      </c>
      <c r="I5" s="6" t="n">
        <v>6</v>
      </c>
      <c r="J5" s="11" t="n">
        <v>141</v>
      </c>
      <c r="K5" s="11" t="n">
        <v>150</v>
      </c>
      <c r="L5" s="12" t="n">
        <f aca="false">IFERROR(J5/K5,0)</f>
        <v>0.94</v>
      </c>
      <c r="M5" s="6" t="s">
        <v>440</v>
      </c>
      <c r="N5" s="6" t="s">
        <v>441</v>
      </c>
      <c r="O5" s="6" t="s">
        <v>442</v>
      </c>
      <c r="P5" s="9"/>
    </row>
    <row r="6" customFormat="false" ht="23.85" hidden="false" customHeight="false" outlineLevel="0" collapsed="false">
      <c r="A6" s="6" t="s">
        <v>443</v>
      </c>
      <c r="B6" s="6" t="s">
        <v>74</v>
      </c>
      <c r="C6" s="6" t="s">
        <v>444</v>
      </c>
      <c r="D6" s="6" t="s">
        <v>81</v>
      </c>
      <c r="E6" s="6" t="s">
        <v>445</v>
      </c>
      <c r="F6" s="6" t="s">
        <v>446</v>
      </c>
      <c r="G6" s="6" t="s">
        <v>417</v>
      </c>
      <c r="H6" s="6" t="n">
        <v>12</v>
      </c>
      <c r="I6" s="6" t="n">
        <v>16</v>
      </c>
      <c r="J6" s="11" t="n">
        <v>9</v>
      </c>
      <c r="K6" s="11" t="n">
        <v>22</v>
      </c>
      <c r="L6" s="12" t="n">
        <f aca="false">IFERROR(J6/K6,0)</f>
        <v>0.409090909090909</v>
      </c>
      <c r="M6" s="6" t="s">
        <v>447</v>
      </c>
      <c r="N6" s="6" t="s">
        <v>448</v>
      </c>
      <c r="O6" s="6" t="s">
        <v>449</v>
      </c>
      <c r="P6" s="9"/>
    </row>
    <row r="7" customFormat="false" ht="23.85" hidden="false" customHeight="false" outlineLevel="0" collapsed="false">
      <c r="A7" s="6" t="s">
        <v>450</v>
      </c>
      <c r="B7" s="6" t="s">
        <v>74</v>
      </c>
      <c r="C7" s="6" t="s">
        <v>451</v>
      </c>
      <c r="D7" s="6" t="s">
        <v>452</v>
      </c>
      <c r="E7" s="6" t="s">
        <v>453</v>
      </c>
      <c r="F7" s="6" t="s">
        <v>454</v>
      </c>
      <c r="G7" s="6" t="s">
        <v>78</v>
      </c>
      <c r="H7" s="6" t="n">
        <v>4</v>
      </c>
      <c r="I7" s="6" t="n">
        <v>5</v>
      </c>
      <c r="J7" s="11" t="n">
        <v>5</v>
      </c>
      <c r="K7" s="11" t="n">
        <v>22</v>
      </c>
      <c r="L7" s="12" t="n">
        <f aca="false">IFERROR(J7/K7,0)</f>
        <v>0.227272727272727</v>
      </c>
      <c r="M7" s="6" t="s">
        <v>455</v>
      </c>
      <c r="N7" s="6" t="s">
        <v>456</v>
      </c>
      <c r="O7" s="6" t="s">
        <v>457</v>
      </c>
      <c r="P7" s="9"/>
    </row>
    <row r="8" customFormat="false" ht="23.85" hidden="false" customHeight="false" outlineLevel="0" collapsed="false">
      <c r="A8" s="6" t="s">
        <v>458</v>
      </c>
      <c r="B8" s="6" t="s">
        <v>74</v>
      </c>
      <c r="C8" s="6" t="s">
        <v>459</v>
      </c>
      <c r="D8" s="6" t="s">
        <v>460</v>
      </c>
      <c r="E8" s="6" t="s">
        <v>461</v>
      </c>
      <c r="F8" s="6" t="s">
        <v>462</v>
      </c>
      <c r="G8" s="6" t="s">
        <v>417</v>
      </c>
      <c r="H8" s="6" t="n">
        <v>9</v>
      </c>
      <c r="I8" s="6" t="n">
        <v>8</v>
      </c>
      <c r="J8" s="11" t="n">
        <v>7</v>
      </c>
      <c r="K8" s="11" t="n">
        <v>22</v>
      </c>
      <c r="L8" s="12" t="n">
        <f aca="false">IFERROR(J8/K8,0)</f>
        <v>0.318181818181818</v>
      </c>
      <c r="M8" s="6" t="s">
        <v>463</v>
      </c>
      <c r="N8" s="6" t="s">
        <v>464</v>
      </c>
      <c r="O8" s="6"/>
      <c r="P8" s="9"/>
    </row>
    <row r="9" customFormat="false" ht="23.85" hidden="false" customHeight="false" outlineLevel="0" collapsed="false">
      <c r="A9" s="6" t="s">
        <v>465</v>
      </c>
      <c r="B9" s="6" t="s">
        <v>85</v>
      </c>
      <c r="C9" s="6" t="s">
        <v>466</v>
      </c>
      <c r="D9" s="6" t="s">
        <v>89</v>
      </c>
      <c r="E9" s="6" t="s">
        <v>467</v>
      </c>
      <c r="F9" s="6" t="s">
        <v>468</v>
      </c>
      <c r="G9" s="6" t="s">
        <v>417</v>
      </c>
      <c r="H9" s="6" t="n">
        <v>6</v>
      </c>
      <c r="I9" s="6" t="n">
        <v>8</v>
      </c>
      <c r="J9" s="11" t="n">
        <v>6</v>
      </c>
      <c r="K9" s="11" t="n">
        <v>10</v>
      </c>
      <c r="L9" s="12" t="n">
        <f aca="false">IFERROR(J9/K9,0)</f>
        <v>0.6</v>
      </c>
      <c r="M9" s="6" t="s">
        <v>469</v>
      </c>
      <c r="N9" s="6" t="s">
        <v>470</v>
      </c>
      <c r="O9" s="6" t="s">
        <v>471</v>
      </c>
      <c r="P9" s="9"/>
    </row>
    <row r="10" customFormat="false" ht="23.85" hidden="false" customHeight="false" outlineLevel="0" collapsed="false">
      <c r="A10" s="6" t="s">
        <v>472</v>
      </c>
      <c r="B10" s="6" t="s">
        <v>85</v>
      </c>
      <c r="C10" s="6" t="s">
        <v>473</v>
      </c>
      <c r="D10" s="6" t="s">
        <v>170</v>
      </c>
      <c r="E10" s="6" t="s">
        <v>474</v>
      </c>
      <c r="F10" s="6" t="s">
        <v>475</v>
      </c>
      <c r="G10" s="6" t="s">
        <v>417</v>
      </c>
      <c r="H10" s="6" t="n">
        <v>4</v>
      </c>
      <c r="I10" s="6" t="n">
        <v>30</v>
      </c>
      <c r="J10" s="11" t="n">
        <v>4</v>
      </c>
      <c r="K10" s="11" t="n">
        <v>10</v>
      </c>
      <c r="L10" s="12" t="n">
        <f aca="false">IFERROR(J10/K10,0)</f>
        <v>0.4</v>
      </c>
      <c r="M10" s="6" t="s">
        <v>476</v>
      </c>
      <c r="N10" s="6" t="s">
        <v>433</v>
      </c>
      <c r="O10" s="6"/>
      <c r="P10" s="9"/>
    </row>
    <row r="11" customFormat="false" ht="23.85" hidden="false" customHeight="false" outlineLevel="0" collapsed="false">
      <c r="A11" s="6" t="s">
        <v>477</v>
      </c>
      <c r="B11" s="6" t="s">
        <v>91</v>
      </c>
      <c r="C11" s="6" t="s">
        <v>478</v>
      </c>
      <c r="D11" s="6" t="s">
        <v>479</v>
      </c>
      <c r="E11" s="6" t="s">
        <v>480</v>
      </c>
      <c r="F11" s="6" t="s">
        <v>481</v>
      </c>
      <c r="G11" s="6" t="s">
        <v>95</v>
      </c>
      <c r="H11" s="6" t="n">
        <v>4</v>
      </c>
      <c r="I11" s="6" t="n">
        <v>5</v>
      </c>
      <c r="J11" s="11" t="n">
        <v>74</v>
      </c>
      <c r="K11" s="11" t="n">
        <v>200</v>
      </c>
      <c r="L11" s="12" t="n">
        <f aca="false">IFERROR(J11/K11,0)</f>
        <v>0.37</v>
      </c>
      <c r="M11" s="6" t="s">
        <v>482</v>
      </c>
      <c r="N11" s="6" t="s">
        <v>483</v>
      </c>
      <c r="O11" s="6" t="s">
        <v>484</v>
      </c>
      <c r="P11" s="9"/>
    </row>
    <row r="12" customFormat="false" ht="23.85" hidden="false" customHeight="false" outlineLevel="0" collapsed="false">
      <c r="A12" s="6" t="s">
        <v>485</v>
      </c>
      <c r="B12" s="6" t="s">
        <v>91</v>
      </c>
      <c r="C12" s="6" t="s">
        <v>486</v>
      </c>
      <c r="D12" s="6" t="s">
        <v>487</v>
      </c>
      <c r="E12" s="6" t="s">
        <v>488</v>
      </c>
      <c r="F12" s="6" t="s">
        <v>489</v>
      </c>
      <c r="G12" s="6" t="s">
        <v>417</v>
      </c>
      <c r="H12" s="6" t="n">
        <v>0</v>
      </c>
      <c r="I12" s="6" t="n">
        <v>6</v>
      </c>
      <c r="J12" s="11" t="n">
        <v>40</v>
      </c>
      <c r="K12" s="11" t="n">
        <v>200</v>
      </c>
      <c r="L12" s="12" t="n">
        <f aca="false">IFERROR(J12/K12,0)</f>
        <v>0.2</v>
      </c>
      <c r="M12" s="6" t="s">
        <v>490</v>
      </c>
      <c r="N12" s="6" t="s">
        <v>491</v>
      </c>
      <c r="O12" s="6" t="s">
        <v>492</v>
      </c>
      <c r="P12" s="9"/>
    </row>
    <row r="13" customFormat="false" ht="23.85" hidden="false" customHeight="false" outlineLevel="0" collapsed="false">
      <c r="A13" s="6" t="s">
        <v>493</v>
      </c>
      <c r="B13" s="6" t="s">
        <v>108</v>
      </c>
      <c r="C13" s="6" t="s">
        <v>494</v>
      </c>
      <c r="D13" s="6" t="s">
        <v>114</v>
      </c>
      <c r="E13" s="6" t="s">
        <v>495</v>
      </c>
      <c r="F13" s="6" t="s">
        <v>496</v>
      </c>
      <c r="G13" s="6" t="s">
        <v>417</v>
      </c>
      <c r="H13" s="6" t="n">
        <v>7</v>
      </c>
      <c r="I13" s="6" t="n">
        <v>9</v>
      </c>
      <c r="J13" s="11" t="n">
        <v>9</v>
      </c>
      <c r="K13" s="11" t="n">
        <v>10</v>
      </c>
      <c r="L13" s="12" t="n">
        <f aca="false">IFERROR(J13/K13,0)</f>
        <v>0.9</v>
      </c>
      <c r="M13" s="6" t="s">
        <v>418</v>
      </c>
      <c r="N13" s="6" t="s">
        <v>497</v>
      </c>
      <c r="O13" s="6" t="s">
        <v>498</v>
      </c>
      <c r="P13" s="9"/>
    </row>
    <row r="14" customFormat="false" ht="23.85" hidden="false" customHeight="false" outlineLevel="0" collapsed="false">
      <c r="A14" s="6" t="s">
        <v>499</v>
      </c>
      <c r="B14" s="6" t="s">
        <v>66</v>
      </c>
      <c r="C14" s="6" t="s">
        <v>500</v>
      </c>
      <c r="D14" s="6" t="s">
        <v>71</v>
      </c>
      <c r="E14" s="6" t="s">
        <v>501</v>
      </c>
      <c r="F14" s="6" t="s">
        <v>502</v>
      </c>
      <c r="G14" s="6" t="s">
        <v>417</v>
      </c>
      <c r="H14" s="6" t="n">
        <v>3</v>
      </c>
      <c r="I14" s="6" t="n">
        <v>6</v>
      </c>
      <c r="J14" s="11" t="n">
        <v>14</v>
      </c>
      <c r="K14" s="11" t="n">
        <v>20</v>
      </c>
      <c r="L14" s="12" t="n">
        <f aca="false">IFERROR(J14/K14,0)</f>
        <v>0.7</v>
      </c>
      <c r="M14" s="6" t="s">
        <v>503</v>
      </c>
      <c r="N14" s="6" t="s">
        <v>504</v>
      </c>
      <c r="O14" s="6"/>
      <c r="P14" s="9"/>
    </row>
    <row r="15" customFormat="false" ht="23.85" hidden="false" customHeight="false" outlineLevel="0" collapsed="false">
      <c r="A15" s="6" t="s">
        <v>505</v>
      </c>
      <c r="B15" s="6" t="s">
        <v>100</v>
      </c>
      <c r="C15" s="6" t="s">
        <v>506</v>
      </c>
      <c r="D15" s="6" t="s">
        <v>105</v>
      </c>
      <c r="E15" s="6" t="s">
        <v>507</v>
      </c>
      <c r="F15" s="6" t="s">
        <v>508</v>
      </c>
      <c r="G15" s="6" t="s">
        <v>103</v>
      </c>
      <c r="H15" s="6" t="n">
        <v>2</v>
      </c>
      <c r="I15" s="6" t="n">
        <v>3</v>
      </c>
      <c r="J15" s="11" t="n">
        <v>96</v>
      </c>
      <c r="K15" s="11" t="n">
        <v>150</v>
      </c>
      <c r="L15" s="12" t="n">
        <f aca="false">IFERROR(J15/K15,0)</f>
        <v>0.64</v>
      </c>
      <c r="M15" s="6" t="s">
        <v>440</v>
      </c>
      <c r="N15" s="6" t="s">
        <v>509</v>
      </c>
      <c r="O15" s="6" t="s">
        <v>510</v>
      </c>
      <c r="P15" s="9"/>
    </row>
    <row r="16" customFormat="false" ht="15" hidden="false" customHeight="false" outlineLevel="0" collapsed="false">
      <c r="A16" s="6" t="s">
        <v>511</v>
      </c>
      <c r="B16" s="6" t="s">
        <v>118</v>
      </c>
      <c r="C16" s="6" t="s">
        <v>512</v>
      </c>
      <c r="D16" s="6" t="s">
        <v>513</v>
      </c>
      <c r="E16" s="6" t="s">
        <v>514</v>
      </c>
      <c r="F16" s="6" t="s">
        <v>515</v>
      </c>
      <c r="G16" s="6" t="s">
        <v>417</v>
      </c>
      <c r="H16" s="6" t="n">
        <v>9</v>
      </c>
      <c r="I16" s="6" t="n">
        <v>12</v>
      </c>
      <c r="J16" s="11" t="n">
        <v>4</v>
      </c>
      <c r="K16" s="11" t="n">
        <v>6</v>
      </c>
      <c r="L16" s="12" t="n">
        <f aca="false">IFERROR(J16/K16,0)</f>
        <v>0.666666666666667</v>
      </c>
      <c r="M16" s="6" t="s">
        <v>516</v>
      </c>
      <c r="N16" s="6" t="s">
        <v>517</v>
      </c>
      <c r="O16" s="6"/>
      <c r="P16" s="9"/>
    </row>
    <row r="17" customFormat="false" ht="15" hidden="false" customHeight="false" outlineLevel="0" collapsed="false">
      <c r="A17" s="6" t="s">
        <v>518</v>
      </c>
      <c r="B17" s="6" t="s">
        <v>118</v>
      </c>
      <c r="C17" s="6" t="s">
        <v>519</v>
      </c>
      <c r="D17" s="6" t="s">
        <v>123</v>
      </c>
      <c r="E17" s="6" t="s">
        <v>520</v>
      </c>
      <c r="F17" s="6" t="s">
        <v>521</v>
      </c>
      <c r="G17" s="6" t="s">
        <v>417</v>
      </c>
      <c r="H17" s="6" t="n">
        <v>14</v>
      </c>
      <c r="I17" s="6" t="n">
        <v>6</v>
      </c>
      <c r="J17" s="11" t="n">
        <v>3</v>
      </c>
      <c r="K17" s="11" t="n">
        <v>6</v>
      </c>
      <c r="L17" s="12" t="n">
        <f aca="false">IFERROR(J17/K17,0)</f>
        <v>0.5</v>
      </c>
      <c r="M17" s="6" t="s">
        <v>522</v>
      </c>
      <c r="N17" s="6" t="s">
        <v>523</v>
      </c>
      <c r="O17" s="6"/>
      <c r="P17" s="9"/>
    </row>
    <row r="18" customFormat="false" ht="15" hidden="false" customHeight="false" outlineLevel="0" collapsed="false">
      <c r="A18" s="6" t="s">
        <v>524</v>
      </c>
      <c r="B18" s="6" t="s">
        <v>118</v>
      </c>
      <c r="C18" s="6" t="s">
        <v>525</v>
      </c>
      <c r="D18" s="6" t="s">
        <v>526</v>
      </c>
      <c r="E18" s="6" t="s">
        <v>527</v>
      </c>
      <c r="F18" s="6" t="s">
        <v>528</v>
      </c>
      <c r="G18" s="6" t="s">
        <v>417</v>
      </c>
      <c r="H18" s="6" t="n">
        <v>4</v>
      </c>
      <c r="I18" s="6" t="n">
        <v>5</v>
      </c>
      <c r="J18" s="11" t="n">
        <v>2</v>
      </c>
      <c r="K18" s="11" t="n">
        <v>6</v>
      </c>
      <c r="L18" s="12" t="n">
        <f aca="false">IFERROR(J18/K18,0)</f>
        <v>0.333333333333333</v>
      </c>
      <c r="M18" s="6" t="s">
        <v>476</v>
      </c>
      <c r="N18" s="6" t="s">
        <v>529</v>
      </c>
      <c r="O18" s="6" t="s">
        <v>530</v>
      </c>
      <c r="P18" s="9"/>
    </row>
    <row r="19" customFormat="false" ht="23.85" hidden="false" customHeight="false" outlineLevel="0" collapsed="false">
      <c r="A19" s="6" t="s">
        <v>531</v>
      </c>
      <c r="B19" s="6" t="s">
        <v>126</v>
      </c>
      <c r="C19" s="6" t="s">
        <v>532</v>
      </c>
      <c r="D19" s="6" t="s">
        <v>131</v>
      </c>
      <c r="E19" s="6" t="s">
        <v>533</v>
      </c>
      <c r="F19" s="6" t="s">
        <v>534</v>
      </c>
      <c r="G19" s="6" t="s">
        <v>417</v>
      </c>
      <c r="H19" s="6" t="n">
        <v>11</v>
      </c>
      <c r="I19" s="6" t="n">
        <v>14</v>
      </c>
      <c r="J19" s="11" t="n">
        <v>140</v>
      </c>
      <c r="K19" s="11" t="n">
        <v>310</v>
      </c>
      <c r="L19" s="12" t="n">
        <f aca="false">IFERROR(J19/K19,0)</f>
        <v>0.451612903225806</v>
      </c>
      <c r="M19" s="6" t="s">
        <v>535</v>
      </c>
      <c r="N19" s="6" t="s">
        <v>536</v>
      </c>
      <c r="O19" s="6" t="s">
        <v>537</v>
      </c>
      <c r="P19" s="9"/>
    </row>
    <row r="20" customFormat="false" ht="23.85" hidden="false" customHeight="false" outlineLevel="0" collapsed="false">
      <c r="A20" s="6" t="s">
        <v>538</v>
      </c>
      <c r="B20" s="6" t="s">
        <v>134</v>
      </c>
      <c r="C20" s="6" t="s">
        <v>539</v>
      </c>
      <c r="D20" s="6" t="s">
        <v>139</v>
      </c>
      <c r="E20" s="6" t="s">
        <v>540</v>
      </c>
      <c r="F20" s="6" t="s">
        <v>541</v>
      </c>
      <c r="G20" s="6" t="s">
        <v>417</v>
      </c>
      <c r="H20" s="6" t="n">
        <v>22</v>
      </c>
      <c r="I20" s="6" t="n">
        <v>10</v>
      </c>
      <c r="J20" s="11" t="n">
        <v>1240</v>
      </c>
      <c r="K20" s="11" t="n">
        <v>5000</v>
      </c>
      <c r="L20" s="12" t="n">
        <f aca="false">IFERROR(J20/K20,0)</f>
        <v>0.248</v>
      </c>
      <c r="M20" s="6" t="s">
        <v>542</v>
      </c>
      <c r="N20" s="6" t="s">
        <v>543</v>
      </c>
      <c r="O20" s="6"/>
      <c r="P20" s="9"/>
    </row>
    <row r="21" customFormat="false" ht="23.85" hidden="false" customHeight="false" outlineLevel="0" collapsed="false">
      <c r="A21" s="6" t="s">
        <v>544</v>
      </c>
      <c r="B21" s="6" t="s">
        <v>142</v>
      </c>
      <c r="C21" s="6" t="s">
        <v>545</v>
      </c>
      <c r="D21" s="6" t="s">
        <v>146</v>
      </c>
      <c r="E21" s="6" t="s">
        <v>546</v>
      </c>
      <c r="F21" s="6" t="s">
        <v>547</v>
      </c>
      <c r="G21" s="6" t="s">
        <v>95</v>
      </c>
      <c r="H21" s="6" t="n">
        <v>5</v>
      </c>
      <c r="I21" s="6" t="n">
        <v>6</v>
      </c>
      <c r="J21" s="11" t="n">
        <v>41</v>
      </c>
      <c r="K21" s="11" t="n">
        <v>100</v>
      </c>
      <c r="L21" s="12" t="n">
        <f aca="false">IFERROR(J21/K21,0)</f>
        <v>0.41</v>
      </c>
      <c r="M21" s="6" t="s">
        <v>548</v>
      </c>
      <c r="N21" s="6" t="s">
        <v>549</v>
      </c>
      <c r="O21" s="6" t="s">
        <v>550</v>
      </c>
      <c r="P21" s="9"/>
    </row>
    <row r="22" customFormat="false" ht="23.85" hidden="false" customHeight="false" outlineLevel="0" collapsed="false">
      <c r="A22" s="6" t="s">
        <v>551</v>
      </c>
      <c r="B22" s="6" t="s">
        <v>149</v>
      </c>
      <c r="C22" s="6" t="s">
        <v>552</v>
      </c>
      <c r="D22" s="6" t="s">
        <v>154</v>
      </c>
      <c r="E22" s="6" t="s">
        <v>553</v>
      </c>
      <c r="F22" s="6" t="s">
        <v>554</v>
      </c>
      <c r="G22" s="6" t="s">
        <v>555</v>
      </c>
      <c r="H22" s="6" t="n">
        <v>3</v>
      </c>
      <c r="I22" s="6" t="n">
        <v>4</v>
      </c>
      <c r="J22" s="11" t="n">
        <v>0</v>
      </c>
      <c r="K22" s="11" t="n">
        <v>20</v>
      </c>
      <c r="L22" s="12" t="n">
        <f aca="false">IFERROR(J22/K22,0)</f>
        <v>0</v>
      </c>
      <c r="M22" s="6" t="s">
        <v>556</v>
      </c>
      <c r="N22" s="6" t="s">
        <v>73</v>
      </c>
      <c r="O22" s="6" t="s">
        <v>557</v>
      </c>
      <c r="P22" s="9"/>
    </row>
    <row r="23" customFormat="false" ht="23.85" hidden="false" customHeight="false" outlineLevel="0" collapsed="false">
      <c r="A23" s="6" t="s">
        <v>558</v>
      </c>
      <c r="B23" s="6" t="s">
        <v>157</v>
      </c>
      <c r="C23" s="6" t="s">
        <v>559</v>
      </c>
      <c r="D23" s="6" t="s">
        <v>162</v>
      </c>
      <c r="E23" s="6" t="s">
        <v>560</v>
      </c>
      <c r="F23" s="6" t="s">
        <v>561</v>
      </c>
      <c r="G23" s="6" t="s">
        <v>160</v>
      </c>
      <c r="H23" s="6" t="n">
        <v>3</v>
      </c>
      <c r="I23" s="6" t="n">
        <v>4</v>
      </c>
      <c r="J23" s="11" t="n">
        <v>4</v>
      </c>
      <c r="K23" s="11" t="n">
        <v>10</v>
      </c>
      <c r="L23" s="12" t="n">
        <f aca="false">IFERROR(J23/K23,0)</f>
        <v>0.4</v>
      </c>
      <c r="M23" s="6" t="s">
        <v>562</v>
      </c>
      <c r="N23" s="6" t="s">
        <v>563</v>
      </c>
      <c r="O23" s="6" t="s">
        <v>564</v>
      </c>
      <c r="P23" s="9"/>
    </row>
  </sheetData>
  <autoFilter ref="A1:P23"/>
  <dataValidations count="1">
    <dataValidation allowBlank="true" errorStyle="stop" operator="between" showDropDown="false" showErrorMessage="false" showInputMessage="false" sqref="G2:G500" type="list">
      <formula1>"Running,Proposed,Merging,Stuck,Waiting for OK,Raising money,Won,Stopped"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1"/>
    <col collapsed="false" customWidth="true" hidden="false" outlineLevel="0" max="3" min="3" style="0" width="15"/>
    <col collapsed="false" customWidth="true" hidden="false" outlineLevel="0" max="4" min="4" style="0" width="50"/>
    <col collapsed="false" customWidth="true" hidden="false" outlineLevel="0" max="5" min="5" style="0" width="12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11"/>
    <col collapsed="false" customWidth="true" hidden="false" outlineLevel="0" max="11" min="11" style="0" width="44"/>
    <col collapsed="false" customWidth="true" hidden="false" outlineLevel="0" max="12" min="12" style="0" width="34"/>
  </cols>
  <sheetData>
    <row r="1" customFormat="false" ht="30" hidden="false" customHeight="true" outlineLevel="0" collapsed="false">
      <c r="A1" s="5" t="s">
        <v>565</v>
      </c>
      <c r="B1" s="5" t="s">
        <v>39</v>
      </c>
      <c r="C1" s="5" t="s">
        <v>402</v>
      </c>
      <c r="D1" s="5" t="s">
        <v>566</v>
      </c>
      <c r="E1" s="5" t="s">
        <v>567</v>
      </c>
      <c r="F1" s="5" t="s">
        <v>568</v>
      </c>
      <c r="G1" s="5" t="s">
        <v>569</v>
      </c>
      <c r="H1" s="5" t="s">
        <v>48</v>
      </c>
      <c r="I1" s="5" t="s">
        <v>43</v>
      </c>
      <c r="J1" s="5" t="s">
        <v>52</v>
      </c>
      <c r="K1" s="5" t="s">
        <v>570</v>
      </c>
      <c r="L1" s="5" t="s">
        <v>54</v>
      </c>
    </row>
    <row r="2" customFormat="false" ht="15" hidden="false" customHeight="false" outlineLevel="0" collapsed="false">
      <c r="A2" s="6" t="s">
        <v>571</v>
      </c>
      <c r="B2" s="6" t="s">
        <v>55</v>
      </c>
      <c r="C2" s="6" t="s">
        <v>412</v>
      </c>
      <c r="D2" s="6" t="s">
        <v>572</v>
      </c>
      <c r="E2" s="6" t="s">
        <v>573</v>
      </c>
      <c r="F2" s="6" t="s">
        <v>574</v>
      </c>
      <c r="G2" s="8" t="n">
        <v>40</v>
      </c>
      <c r="H2" s="6" t="s">
        <v>61</v>
      </c>
      <c r="I2" s="6" t="s">
        <v>575</v>
      </c>
      <c r="J2" s="6" t="s">
        <v>576</v>
      </c>
      <c r="K2" s="6"/>
      <c r="L2" s="9"/>
    </row>
    <row r="3" customFormat="false" ht="15" hidden="false" customHeight="false" outlineLevel="0" collapsed="false">
      <c r="A3" s="6" t="s">
        <v>577</v>
      </c>
      <c r="B3" s="6" t="s">
        <v>55</v>
      </c>
      <c r="C3" s="6" t="s">
        <v>412</v>
      </c>
      <c r="D3" s="6" t="s">
        <v>578</v>
      </c>
      <c r="E3" s="6" t="s">
        <v>579</v>
      </c>
      <c r="F3" s="6" t="s">
        <v>574</v>
      </c>
      <c r="G3" s="8" t="n">
        <v>25</v>
      </c>
      <c r="H3" s="6" t="s">
        <v>61</v>
      </c>
      <c r="I3" s="6" t="s">
        <v>575</v>
      </c>
      <c r="J3" s="6" t="s">
        <v>576</v>
      </c>
      <c r="K3" s="6"/>
      <c r="L3" s="9"/>
    </row>
    <row r="4" customFormat="false" ht="15" hidden="false" customHeight="false" outlineLevel="0" collapsed="false">
      <c r="A4" s="6" t="s">
        <v>580</v>
      </c>
      <c r="B4" s="6" t="s">
        <v>55</v>
      </c>
      <c r="C4" s="6" t="s">
        <v>420</v>
      </c>
      <c r="D4" s="6" t="s">
        <v>581</v>
      </c>
      <c r="E4" s="6" t="s">
        <v>582</v>
      </c>
      <c r="F4" s="6" t="s">
        <v>583</v>
      </c>
      <c r="G4" s="8" t="n">
        <v>30</v>
      </c>
      <c r="H4" s="6" t="s">
        <v>61</v>
      </c>
      <c r="I4" s="6" t="s">
        <v>575</v>
      </c>
      <c r="J4" s="6" t="s">
        <v>576</v>
      </c>
      <c r="K4" s="6"/>
      <c r="L4" s="9"/>
    </row>
    <row r="5" customFormat="false" ht="15" hidden="false" customHeight="false" outlineLevel="0" collapsed="false">
      <c r="A5" s="6" t="s">
        <v>584</v>
      </c>
      <c r="B5" s="6" t="s">
        <v>55</v>
      </c>
      <c r="C5" s="6" t="s">
        <v>420</v>
      </c>
      <c r="D5" s="6" t="s">
        <v>585</v>
      </c>
      <c r="E5" s="6" t="s">
        <v>573</v>
      </c>
      <c r="F5" s="6" t="s">
        <v>583</v>
      </c>
      <c r="G5" s="8" t="n">
        <v>120</v>
      </c>
      <c r="H5" s="6" t="s">
        <v>61</v>
      </c>
      <c r="I5" s="6" t="s">
        <v>219</v>
      </c>
      <c r="J5" s="6" t="s">
        <v>586</v>
      </c>
      <c r="K5" s="6" t="s">
        <v>587</v>
      </c>
      <c r="L5" s="9"/>
    </row>
    <row r="6" customFormat="false" ht="15" hidden="false" customHeight="false" outlineLevel="0" collapsed="false">
      <c r="A6" s="6" t="s">
        <v>588</v>
      </c>
      <c r="B6" s="6" t="s">
        <v>55</v>
      </c>
      <c r="C6" s="6" t="s">
        <v>428</v>
      </c>
      <c r="D6" s="6" t="s">
        <v>589</v>
      </c>
      <c r="E6" s="6" t="s">
        <v>573</v>
      </c>
      <c r="F6" s="6" t="s">
        <v>583</v>
      </c>
      <c r="G6" s="8" t="n">
        <v>30</v>
      </c>
      <c r="H6" s="6" t="s">
        <v>61</v>
      </c>
      <c r="I6" s="6" t="s">
        <v>575</v>
      </c>
      <c r="J6" s="6" t="s">
        <v>576</v>
      </c>
      <c r="K6" s="6"/>
      <c r="L6" s="9"/>
    </row>
    <row r="7" customFormat="false" ht="15" hidden="false" customHeight="false" outlineLevel="0" collapsed="false">
      <c r="A7" s="6" t="s">
        <v>590</v>
      </c>
      <c r="B7" s="6" t="s">
        <v>55</v>
      </c>
      <c r="C7" s="6" t="s">
        <v>428</v>
      </c>
      <c r="D7" s="6" t="s">
        <v>591</v>
      </c>
      <c r="E7" s="6" t="s">
        <v>579</v>
      </c>
      <c r="F7" s="6" t="s">
        <v>574</v>
      </c>
      <c r="G7" s="8" t="n">
        <v>20</v>
      </c>
      <c r="H7" s="6" t="s">
        <v>61</v>
      </c>
      <c r="I7" s="6" t="s">
        <v>575</v>
      </c>
      <c r="J7" s="6" t="s">
        <v>576</v>
      </c>
      <c r="K7" s="6"/>
      <c r="L7" s="9"/>
    </row>
    <row r="8" customFormat="false" ht="15" hidden="false" customHeight="false" outlineLevel="0" collapsed="false">
      <c r="A8" s="6" t="s">
        <v>592</v>
      </c>
      <c r="B8" s="6" t="s">
        <v>55</v>
      </c>
      <c r="C8" s="6" t="s">
        <v>435</v>
      </c>
      <c r="D8" s="6" t="s">
        <v>593</v>
      </c>
      <c r="E8" s="6" t="s">
        <v>594</v>
      </c>
      <c r="F8" s="6" t="s">
        <v>574</v>
      </c>
      <c r="G8" s="8" t="n">
        <v>0</v>
      </c>
      <c r="H8" s="6" t="s">
        <v>61</v>
      </c>
      <c r="I8" s="6" t="s">
        <v>575</v>
      </c>
      <c r="J8" s="6" t="s">
        <v>576</v>
      </c>
      <c r="K8" s="6"/>
      <c r="L8" s="9"/>
    </row>
    <row r="9" customFormat="false" ht="15" hidden="false" customHeight="false" outlineLevel="0" collapsed="false">
      <c r="A9" s="6" t="s">
        <v>595</v>
      </c>
      <c r="B9" s="6" t="s">
        <v>55</v>
      </c>
      <c r="C9" s="6" t="s">
        <v>412</v>
      </c>
      <c r="D9" s="6" t="s">
        <v>596</v>
      </c>
      <c r="E9" s="6" t="s">
        <v>597</v>
      </c>
      <c r="F9" s="6" t="s">
        <v>574</v>
      </c>
      <c r="G9" s="8" t="n">
        <v>10</v>
      </c>
      <c r="H9" s="6" t="s">
        <v>61</v>
      </c>
      <c r="I9" s="6" t="s">
        <v>205</v>
      </c>
      <c r="J9" s="6" t="s">
        <v>576</v>
      </c>
      <c r="K9" s="6"/>
      <c r="L9" s="9"/>
    </row>
    <row r="10" customFormat="false" ht="15" hidden="false" customHeight="false" outlineLevel="0" collapsed="false">
      <c r="A10" s="6" t="s">
        <v>598</v>
      </c>
      <c r="B10" s="6" t="s">
        <v>55</v>
      </c>
      <c r="C10" s="6" t="s">
        <v>420</v>
      </c>
      <c r="D10" s="6" t="s">
        <v>599</v>
      </c>
      <c r="E10" s="6" t="s">
        <v>582</v>
      </c>
      <c r="F10" s="6" t="s">
        <v>574</v>
      </c>
      <c r="G10" s="8" t="n">
        <v>10</v>
      </c>
      <c r="H10" s="6" t="s">
        <v>61</v>
      </c>
      <c r="I10" s="6" t="s">
        <v>205</v>
      </c>
      <c r="J10" s="6" t="s">
        <v>576</v>
      </c>
      <c r="K10" s="6"/>
      <c r="L10" s="9"/>
    </row>
    <row r="11" customFormat="false" ht="15" hidden="false" customHeight="false" outlineLevel="0" collapsed="false">
      <c r="A11" s="6" t="s">
        <v>600</v>
      </c>
      <c r="B11" s="6" t="s">
        <v>66</v>
      </c>
      <c r="C11" s="6" t="s">
        <v>499</v>
      </c>
      <c r="D11" s="6" t="s">
        <v>601</v>
      </c>
      <c r="E11" s="6" t="s">
        <v>582</v>
      </c>
      <c r="F11" s="6" t="s">
        <v>574</v>
      </c>
      <c r="G11" s="8" t="n">
        <v>15</v>
      </c>
      <c r="H11" s="6" t="s">
        <v>61</v>
      </c>
      <c r="I11" s="6" t="s">
        <v>575</v>
      </c>
      <c r="J11" s="6" t="s">
        <v>576</v>
      </c>
      <c r="K11" s="6"/>
      <c r="L11" s="9"/>
    </row>
    <row r="12" customFormat="false" ht="15" hidden="false" customHeight="false" outlineLevel="0" collapsed="false">
      <c r="A12" s="6" t="s">
        <v>602</v>
      </c>
      <c r="B12" s="6" t="s">
        <v>66</v>
      </c>
      <c r="C12" s="6" t="s">
        <v>499</v>
      </c>
      <c r="D12" s="6" t="s">
        <v>603</v>
      </c>
      <c r="E12" s="6" t="s">
        <v>582</v>
      </c>
      <c r="F12" s="6" t="s">
        <v>574</v>
      </c>
      <c r="G12" s="8" t="n">
        <v>15</v>
      </c>
      <c r="H12" s="6" t="s">
        <v>61</v>
      </c>
      <c r="I12" s="6" t="s">
        <v>575</v>
      </c>
      <c r="J12" s="6" t="s">
        <v>576</v>
      </c>
      <c r="K12" s="6"/>
      <c r="L12" s="9"/>
    </row>
    <row r="13" customFormat="false" ht="15" hidden="false" customHeight="false" outlineLevel="0" collapsed="false">
      <c r="A13" s="6" t="s">
        <v>604</v>
      </c>
      <c r="B13" s="6" t="s">
        <v>66</v>
      </c>
      <c r="C13" s="6" t="s">
        <v>499</v>
      </c>
      <c r="D13" s="6" t="s">
        <v>605</v>
      </c>
      <c r="E13" s="6" t="s">
        <v>579</v>
      </c>
      <c r="F13" s="6" t="s">
        <v>574</v>
      </c>
      <c r="G13" s="8" t="n">
        <v>15</v>
      </c>
      <c r="H13" s="6" t="s">
        <v>61</v>
      </c>
      <c r="I13" s="6" t="s">
        <v>575</v>
      </c>
      <c r="J13" s="6" t="s">
        <v>576</v>
      </c>
      <c r="K13" s="6"/>
      <c r="L13" s="9"/>
    </row>
    <row r="14" customFormat="false" ht="15" hidden="false" customHeight="false" outlineLevel="0" collapsed="false">
      <c r="A14" s="6" t="s">
        <v>606</v>
      </c>
      <c r="B14" s="6" t="s">
        <v>66</v>
      </c>
      <c r="C14" s="6" t="s">
        <v>499</v>
      </c>
      <c r="D14" s="6" t="s">
        <v>607</v>
      </c>
      <c r="E14" s="6" t="s">
        <v>573</v>
      </c>
      <c r="F14" s="6" t="s">
        <v>583</v>
      </c>
      <c r="G14" s="8" t="n">
        <v>60</v>
      </c>
      <c r="H14" s="6" t="s">
        <v>61</v>
      </c>
      <c r="I14" s="6" t="s">
        <v>575</v>
      </c>
      <c r="J14" s="6" t="s">
        <v>576</v>
      </c>
      <c r="K14" s="6"/>
      <c r="L14" s="9"/>
    </row>
    <row r="15" customFormat="false" ht="15" hidden="false" customHeight="false" outlineLevel="0" collapsed="false">
      <c r="A15" s="6" t="s">
        <v>608</v>
      </c>
      <c r="B15" s="6" t="s">
        <v>66</v>
      </c>
      <c r="C15" s="6" t="s">
        <v>499</v>
      </c>
      <c r="D15" s="6" t="s">
        <v>609</v>
      </c>
      <c r="E15" s="6" t="s">
        <v>597</v>
      </c>
      <c r="F15" s="6" t="s">
        <v>574</v>
      </c>
      <c r="G15" s="8" t="n">
        <v>10</v>
      </c>
      <c r="H15" s="6" t="s">
        <v>61</v>
      </c>
      <c r="I15" s="6" t="s">
        <v>575</v>
      </c>
      <c r="J15" s="6" t="s">
        <v>576</v>
      </c>
      <c r="K15" s="6"/>
      <c r="L15" s="9"/>
    </row>
    <row r="16" customFormat="false" ht="15" hidden="false" customHeight="false" outlineLevel="0" collapsed="false">
      <c r="A16" s="6" t="s">
        <v>610</v>
      </c>
      <c r="B16" s="6" t="s">
        <v>74</v>
      </c>
      <c r="C16" s="6" t="s">
        <v>458</v>
      </c>
      <c r="D16" s="6" t="s">
        <v>611</v>
      </c>
      <c r="E16" s="6" t="s">
        <v>582</v>
      </c>
      <c r="F16" s="6" t="s">
        <v>574</v>
      </c>
      <c r="G16" s="10" t="n">
        <v>500</v>
      </c>
      <c r="H16" s="6" t="s">
        <v>80</v>
      </c>
      <c r="I16" s="6" t="s">
        <v>575</v>
      </c>
      <c r="J16" s="6" t="s">
        <v>576</v>
      </c>
      <c r="K16" s="6"/>
      <c r="L16" s="9"/>
    </row>
    <row r="17" customFormat="false" ht="15" hidden="false" customHeight="false" outlineLevel="0" collapsed="false">
      <c r="A17" s="6" t="s">
        <v>612</v>
      </c>
      <c r="B17" s="6" t="s">
        <v>74</v>
      </c>
      <c r="C17" s="6" t="s">
        <v>458</v>
      </c>
      <c r="D17" s="6" t="s">
        <v>613</v>
      </c>
      <c r="E17" s="6" t="s">
        <v>582</v>
      </c>
      <c r="F17" s="6" t="s">
        <v>574</v>
      </c>
      <c r="G17" s="10" t="n">
        <v>600</v>
      </c>
      <c r="H17" s="6" t="s">
        <v>80</v>
      </c>
      <c r="I17" s="6" t="s">
        <v>575</v>
      </c>
      <c r="J17" s="6" t="s">
        <v>576</v>
      </c>
      <c r="K17" s="6"/>
      <c r="L17" s="9"/>
    </row>
    <row r="18" customFormat="false" ht="15" hidden="false" customHeight="false" outlineLevel="0" collapsed="false">
      <c r="A18" s="6" t="s">
        <v>614</v>
      </c>
      <c r="B18" s="6" t="s">
        <v>74</v>
      </c>
      <c r="C18" s="6" t="s">
        <v>458</v>
      </c>
      <c r="D18" s="6" t="s">
        <v>615</v>
      </c>
      <c r="E18" s="6" t="s">
        <v>579</v>
      </c>
      <c r="F18" s="6" t="s">
        <v>574</v>
      </c>
      <c r="G18" s="10" t="n">
        <v>500</v>
      </c>
      <c r="H18" s="6" t="s">
        <v>80</v>
      </c>
      <c r="I18" s="6" t="s">
        <v>575</v>
      </c>
      <c r="J18" s="6" t="s">
        <v>576</v>
      </c>
      <c r="K18" s="6"/>
      <c r="L18" s="9"/>
    </row>
    <row r="19" customFormat="false" ht="15" hidden="false" customHeight="false" outlineLevel="0" collapsed="false">
      <c r="A19" s="6" t="s">
        <v>616</v>
      </c>
      <c r="B19" s="6" t="s">
        <v>74</v>
      </c>
      <c r="C19" s="6" t="s">
        <v>443</v>
      </c>
      <c r="D19" s="6" t="s">
        <v>617</v>
      </c>
      <c r="E19" s="6" t="s">
        <v>594</v>
      </c>
      <c r="F19" s="6" t="s">
        <v>574</v>
      </c>
      <c r="G19" s="10" t="n">
        <v>0</v>
      </c>
      <c r="H19" s="6" t="s">
        <v>80</v>
      </c>
      <c r="I19" s="6" t="s">
        <v>575</v>
      </c>
      <c r="J19" s="6" t="s">
        <v>576</v>
      </c>
      <c r="K19" s="6"/>
      <c r="L19" s="9"/>
    </row>
    <row r="20" customFormat="false" ht="15" hidden="false" customHeight="false" outlineLevel="0" collapsed="false">
      <c r="A20" s="6" t="s">
        <v>618</v>
      </c>
      <c r="B20" s="6" t="s">
        <v>74</v>
      </c>
      <c r="C20" s="6" t="s">
        <v>443</v>
      </c>
      <c r="D20" s="6" t="s">
        <v>619</v>
      </c>
      <c r="E20" s="6" t="s">
        <v>573</v>
      </c>
      <c r="F20" s="6" t="s">
        <v>620</v>
      </c>
      <c r="G20" s="10" t="n">
        <v>8000</v>
      </c>
      <c r="H20" s="6" t="s">
        <v>80</v>
      </c>
      <c r="I20" s="6" t="s">
        <v>219</v>
      </c>
      <c r="J20" s="6" t="s">
        <v>576</v>
      </c>
      <c r="K20" s="6"/>
      <c r="L20" s="9"/>
    </row>
    <row r="21" customFormat="false" ht="15" hidden="false" customHeight="false" outlineLevel="0" collapsed="false">
      <c r="A21" s="6" t="s">
        <v>621</v>
      </c>
      <c r="B21" s="6" t="s">
        <v>74</v>
      </c>
      <c r="C21" s="6" t="s">
        <v>450</v>
      </c>
      <c r="D21" s="6" t="s">
        <v>622</v>
      </c>
      <c r="E21" s="6" t="s">
        <v>623</v>
      </c>
      <c r="F21" s="6" t="s">
        <v>583</v>
      </c>
      <c r="G21" s="10" t="n">
        <v>1500</v>
      </c>
      <c r="H21" s="6" t="s">
        <v>80</v>
      </c>
      <c r="I21" s="6" t="s">
        <v>575</v>
      </c>
      <c r="J21" s="6" t="s">
        <v>576</v>
      </c>
      <c r="K21" s="6"/>
      <c r="L21" s="9"/>
    </row>
    <row r="22" customFormat="false" ht="15" hidden="false" customHeight="false" outlineLevel="0" collapsed="false">
      <c r="A22" s="6" t="s">
        <v>624</v>
      </c>
      <c r="B22" s="6" t="s">
        <v>74</v>
      </c>
      <c r="C22" s="6" t="s">
        <v>458</v>
      </c>
      <c r="D22" s="6" t="s">
        <v>625</v>
      </c>
      <c r="E22" s="6" t="s">
        <v>582</v>
      </c>
      <c r="F22" s="6" t="s">
        <v>574</v>
      </c>
      <c r="G22" s="10" t="n">
        <v>400</v>
      </c>
      <c r="H22" s="6" t="s">
        <v>80</v>
      </c>
      <c r="I22" s="6" t="s">
        <v>205</v>
      </c>
      <c r="J22" s="6" t="s">
        <v>576</v>
      </c>
      <c r="K22" s="6"/>
      <c r="L22" s="9"/>
    </row>
    <row r="23" customFormat="false" ht="15" hidden="false" customHeight="false" outlineLevel="0" collapsed="false">
      <c r="A23" s="6" t="s">
        <v>626</v>
      </c>
      <c r="B23" s="6" t="s">
        <v>85</v>
      </c>
      <c r="C23" s="6" t="s">
        <v>465</v>
      </c>
      <c r="D23" s="6" t="s">
        <v>627</v>
      </c>
      <c r="E23" s="6" t="s">
        <v>573</v>
      </c>
      <c r="F23" s="6" t="s">
        <v>583</v>
      </c>
      <c r="G23" s="8" t="n">
        <v>100</v>
      </c>
      <c r="H23" s="6" t="s">
        <v>61</v>
      </c>
      <c r="I23" s="6" t="s">
        <v>575</v>
      </c>
      <c r="J23" s="6" t="s">
        <v>576</v>
      </c>
      <c r="K23" s="6"/>
      <c r="L23" s="9"/>
    </row>
    <row r="24" customFormat="false" ht="15" hidden="false" customHeight="false" outlineLevel="0" collapsed="false">
      <c r="A24" s="6" t="s">
        <v>628</v>
      </c>
      <c r="B24" s="6" t="s">
        <v>85</v>
      </c>
      <c r="C24" s="6" t="s">
        <v>465</v>
      </c>
      <c r="D24" s="6" t="s">
        <v>629</v>
      </c>
      <c r="E24" s="6" t="s">
        <v>579</v>
      </c>
      <c r="F24" s="6" t="s">
        <v>574</v>
      </c>
      <c r="G24" s="8" t="n">
        <v>40</v>
      </c>
      <c r="H24" s="6" t="s">
        <v>61</v>
      </c>
      <c r="I24" s="6" t="s">
        <v>575</v>
      </c>
      <c r="J24" s="6" t="s">
        <v>576</v>
      </c>
      <c r="K24" s="6" t="s">
        <v>630</v>
      </c>
      <c r="L24" s="9"/>
    </row>
    <row r="25" customFormat="false" ht="15" hidden="false" customHeight="false" outlineLevel="0" collapsed="false">
      <c r="A25" s="6" t="s">
        <v>631</v>
      </c>
      <c r="B25" s="6" t="s">
        <v>85</v>
      </c>
      <c r="C25" s="6" t="s">
        <v>472</v>
      </c>
      <c r="D25" s="6" t="s">
        <v>632</v>
      </c>
      <c r="E25" s="6" t="s">
        <v>623</v>
      </c>
      <c r="F25" s="6" t="s">
        <v>574</v>
      </c>
      <c r="G25" s="8" t="n">
        <v>30</v>
      </c>
      <c r="H25" s="6" t="s">
        <v>61</v>
      </c>
      <c r="I25" s="6" t="s">
        <v>575</v>
      </c>
      <c r="J25" s="6" t="s">
        <v>576</v>
      </c>
      <c r="K25" s="6"/>
      <c r="L25" s="9"/>
    </row>
    <row r="26" customFormat="false" ht="15" hidden="false" customHeight="false" outlineLevel="0" collapsed="false">
      <c r="A26" s="6" t="s">
        <v>633</v>
      </c>
      <c r="B26" s="6" t="s">
        <v>85</v>
      </c>
      <c r="C26" s="6" t="s">
        <v>465</v>
      </c>
      <c r="D26" s="6" t="s">
        <v>634</v>
      </c>
      <c r="E26" s="6" t="s">
        <v>635</v>
      </c>
      <c r="F26" s="6" t="s">
        <v>574</v>
      </c>
      <c r="G26" s="8" t="n">
        <v>20</v>
      </c>
      <c r="H26" s="6" t="s">
        <v>61</v>
      </c>
      <c r="I26" s="6" t="s">
        <v>575</v>
      </c>
      <c r="J26" s="6" t="s">
        <v>576</v>
      </c>
      <c r="K26" s="6"/>
      <c r="L26" s="9"/>
    </row>
    <row r="27" customFormat="false" ht="15" hidden="false" customHeight="false" outlineLevel="0" collapsed="false">
      <c r="A27" s="6" t="s">
        <v>636</v>
      </c>
      <c r="B27" s="6" t="s">
        <v>85</v>
      </c>
      <c r="C27" s="6" t="s">
        <v>472</v>
      </c>
      <c r="D27" s="6" t="s">
        <v>637</v>
      </c>
      <c r="E27" s="6" t="s">
        <v>597</v>
      </c>
      <c r="F27" s="6" t="s">
        <v>574</v>
      </c>
      <c r="G27" s="8" t="n">
        <v>25</v>
      </c>
      <c r="H27" s="6" t="s">
        <v>61</v>
      </c>
      <c r="I27" s="6" t="s">
        <v>575</v>
      </c>
      <c r="J27" s="6" t="s">
        <v>576</v>
      </c>
      <c r="K27" s="6"/>
      <c r="L27" s="9"/>
    </row>
    <row r="28" customFormat="false" ht="15" hidden="false" customHeight="false" outlineLevel="0" collapsed="false">
      <c r="A28" s="6" t="s">
        <v>638</v>
      </c>
      <c r="B28" s="6" t="s">
        <v>85</v>
      </c>
      <c r="C28" s="6" t="s">
        <v>465</v>
      </c>
      <c r="D28" s="6" t="s">
        <v>639</v>
      </c>
      <c r="E28" s="6" t="s">
        <v>573</v>
      </c>
      <c r="F28" s="6" t="s">
        <v>620</v>
      </c>
      <c r="G28" s="8" t="n">
        <v>400</v>
      </c>
      <c r="H28" s="6" t="s">
        <v>61</v>
      </c>
      <c r="I28" s="6" t="s">
        <v>205</v>
      </c>
      <c r="J28" s="6" t="s">
        <v>576</v>
      </c>
      <c r="K28" s="6"/>
      <c r="L28" s="9"/>
    </row>
    <row r="29" customFormat="false" ht="15" hidden="false" customHeight="false" outlineLevel="0" collapsed="false">
      <c r="A29" s="6" t="s">
        <v>640</v>
      </c>
      <c r="B29" s="6" t="s">
        <v>91</v>
      </c>
      <c r="C29" s="6" t="s">
        <v>477</v>
      </c>
      <c r="D29" s="6" t="s">
        <v>641</v>
      </c>
      <c r="E29" s="6" t="s">
        <v>582</v>
      </c>
      <c r="F29" s="6" t="s">
        <v>620</v>
      </c>
      <c r="G29" s="8" t="n">
        <v>250</v>
      </c>
      <c r="H29" s="6" t="s">
        <v>61</v>
      </c>
      <c r="I29" s="6" t="s">
        <v>575</v>
      </c>
      <c r="J29" s="6" t="s">
        <v>586</v>
      </c>
      <c r="K29" s="6" t="s">
        <v>642</v>
      </c>
      <c r="L29" s="9"/>
    </row>
    <row r="30" customFormat="false" ht="15" hidden="false" customHeight="false" outlineLevel="0" collapsed="false">
      <c r="A30" s="6" t="s">
        <v>643</v>
      </c>
      <c r="B30" s="6" t="s">
        <v>91</v>
      </c>
      <c r="C30" s="6" t="s">
        <v>477</v>
      </c>
      <c r="D30" s="6" t="s">
        <v>644</v>
      </c>
      <c r="E30" s="6" t="s">
        <v>579</v>
      </c>
      <c r="F30" s="6" t="s">
        <v>574</v>
      </c>
      <c r="G30" s="8" t="n">
        <v>30</v>
      </c>
      <c r="H30" s="6" t="s">
        <v>61</v>
      </c>
      <c r="I30" s="6" t="s">
        <v>575</v>
      </c>
      <c r="J30" s="6" t="s">
        <v>576</v>
      </c>
      <c r="K30" s="6"/>
      <c r="L30" s="9"/>
    </row>
    <row r="31" customFormat="false" ht="15" hidden="false" customHeight="false" outlineLevel="0" collapsed="false">
      <c r="A31" s="6" t="s">
        <v>645</v>
      </c>
      <c r="B31" s="6" t="s">
        <v>91</v>
      </c>
      <c r="C31" s="6" t="s">
        <v>477</v>
      </c>
      <c r="D31" s="6" t="s">
        <v>646</v>
      </c>
      <c r="E31" s="6" t="s">
        <v>594</v>
      </c>
      <c r="F31" s="6" t="s">
        <v>574</v>
      </c>
      <c r="G31" s="8" t="n">
        <v>0</v>
      </c>
      <c r="H31" s="6" t="s">
        <v>61</v>
      </c>
      <c r="I31" s="6" t="s">
        <v>575</v>
      </c>
      <c r="J31" s="6" t="s">
        <v>576</v>
      </c>
      <c r="K31" s="6"/>
      <c r="L31" s="9"/>
    </row>
    <row r="32" customFormat="false" ht="15" hidden="false" customHeight="false" outlineLevel="0" collapsed="false">
      <c r="A32" s="6" t="s">
        <v>647</v>
      </c>
      <c r="B32" s="6" t="s">
        <v>91</v>
      </c>
      <c r="C32" s="6" t="s">
        <v>485</v>
      </c>
      <c r="D32" s="6" t="s">
        <v>648</v>
      </c>
      <c r="E32" s="6" t="s">
        <v>579</v>
      </c>
      <c r="F32" s="6" t="s">
        <v>574</v>
      </c>
      <c r="G32" s="8" t="n">
        <v>25</v>
      </c>
      <c r="H32" s="6" t="s">
        <v>61</v>
      </c>
      <c r="I32" s="6" t="s">
        <v>575</v>
      </c>
      <c r="J32" s="6" t="s">
        <v>576</v>
      </c>
      <c r="K32" s="6"/>
      <c r="L32" s="9"/>
    </row>
    <row r="33" customFormat="false" ht="15" hidden="false" customHeight="false" outlineLevel="0" collapsed="false">
      <c r="A33" s="6" t="s">
        <v>649</v>
      </c>
      <c r="B33" s="6" t="s">
        <v>91</v>
      </c>
      <c r="C33" s="6" t="s">
        <v>477</v>
      </c>
      <c r="D33" s="6" t="s">
        <v>650</v>
      </c>
      <c r="E33" s="6" t="s">
        <v>623</v>
      </c>
      <c r="F33" s="6" t="s">
        <v>574</v>
      </c>
      <c r="G33" s="8" t="n">
        <v>25</v>
      </c>
      <c r="H33" s="6" t="s">
        <v>61</v>
      </c>
      <c r="I33" s="6" t="s">
        <v>575</v>
      </c>
      <c r="J33" s="6" t="s">
        <v>576</v>
      </c>
      <c r="K33" s="6"/>
      <c r="L33" s="9"/>
    </row>
    <row r="34" customFormat="false" ht="15" hidden="false" customHeight="false" outlineLevel="0" collapsed="false">
      <c r="A34" s="6" t="s">
        <v>651</v>
      </c>
      <c r="B34" s="6" t="s">
        <v>91</v>
      </c>
      <c r="C34" s="6" t="s">
        <v>485</v>
      </c>
      <c r="D34" s="6" t="s">
        <v>652</v>
      </c>
      <c r="E34" s="6" t="s">
        <v>582</v>
      </c>
      <c r="F34" s="6" t="s">
        <v>574</v>
      </c>
      <c r="G34" s="8" t="n">
        <v>20</v>
      </c>
      <c r="H34" s="6" t="s">
        <v>61</v>
      </c>
      <c r="I34" s="6" t="s">
        <v>205</v>
      </c>
      <c r="J34" s="6" t="s">
        <v>576</v>
      </c>
      <c r="K34" s="6"/>
      <c r="L34" s="9"/>
    </row>
    <row r="35" customFormat="false" ht="15" hidden="false" customHeight="false" outlineLevel="0" collapsed="false">
      <c r="A35" s="6" t="s">
        <v>653</v>
      </c>
      <c r="B35" s="6" t="s">
        <v>108</v>
      </c>
      <c r="C35" s="6" t="s">
        <v>493</v>
      </c>
      <c r="D35" s="6" t="s">
        <v>654</v>
      </c>
      <c r="E35" s="6" t="s">
        <v>635</v>
      </c>
      <c r="F35" s="6" t="s">
        <v>583</v>
      </c>
      <c r="G35" s="8" t="n">
        <v>40</v>
      </c>
      <c r="H35" s="6" t="s">
        <v>61</v>
      </c>
      <c r="I35" s="6" t="s">
        <v>575</v>
      </c>
      <c r="J35" s="6" t="s">
        <v>586</v>
      </c>
      <c r="K35" s="6" t="s">
        <v>655</v>
      </c>
      <c r="L35" s="9"/>
    </row>
    <row r="36" customFormat="false" ht="15" hidden="false" customHeight="false" outlineLevel="0" collapsed="false">
      <c r="A36" s="6" t="s">
        <v>656</v>
      </c>
      <c r="B36" s="6" t="s">
        <v>108</v>
      </c>
      <c r="C36" s="6" t="s">
        <v>493</v>
      </c>
      <c r="D36" s="6" t="s">
        <v>657</v>
      </c>
      <c r="E36" s="6" t="s">
        <v>579</v>
      </c>
      <c r="F36" s="6" t="s">
        <v>583</v>
      </c>
      <c r="G36" s="8" t="n">
        <v>60</v>
      </c>
      <c r="H36" s="6" t="s">
        <v>61</v>
      </c>
      <c r="I36" s="6" t="s">
        <v>575</v>
      </c>
      <c r="J36" s="6" t="s">
        <v>576</v>
      </c>
      <c r="K36" s="6"/>
      <c r="L36" s="9"/>
    </row>
    <row r="37" customFormat="false" ht="15" hidden="false" customHeight="false" outlineLevel="0" collapsed="false">
      <c r="A37" s="6" t="s">
        <v>658</v>
      </c>
      <c r="B37" s="6" t="s">
        <v>108</v>
      </c>
      <c r="C37" s="6" t="s">
        <v>493</v>
      </c>
      <c r="D37" s="6" t="s">
        <v>659</v>
      </c>
      <c r="E37" s="6" t="s">
        <v>597</v>
      </c>
      <c r="F37" s="6" t="s">
        <v>583</v>
      </c>
      <c r="G37" s="8" t="n">
        <v>60</v>
      </c>
      <c r="H37" s="6" t="s">
        <v>61</v>
      </c>
      <c r="I37" s="6" t="s">
        <v>219</v>
      </c>
      <c r="J37" s="6" t="s">
        <v>576</v>
      </c>
      <c r="K37" s="6"/>
      <c r="L37" s="9"/>
    </row>
    <row r="38" customFormat="false" ht="15" hidden="false" customHeight="false" outlineLevel="0" collapsed="false">
      <c r="A38" s="6" t="s">
        <v>660</v>
      </c>
      <c r="B38" s="6" t="s">
        <v>108</v>
      </c>
      <c r="C38" s="6" t="s">
        <v>493</v>
      </c>
      <c r="D38" s="6" t="s">
        <v>661</v>
      </c>
      <c r="E38" s="6" t="s">
        <v>582</v>
      </c>
      <c r="F38" s="6" t="s">
        <v>583</v>
      </c>
      <c r="G38" s="8" t="n">
        <v>60</v>
      </c>
      <c r="H38" s="6" t="s">
        <v>61</v>
      </c>
      <c r="I38" s="6" t="s">
        <v>205</v>
      </c>
      <c r="J38" s="6" t="s">
        <v>576</v>
      </c>
      <c r="K38" s="6"/>
      <c r="L38" s="9"/>
    </row>
    <row r="39" customFormat="false" ht="15" hidden="false" customHeight="false" outlineLevel="0" collapsed="false">
      <c r="A39" s="6" t="s">
        <v>662</v>
      </c>
      <c r="B39" s="6" t="s">
        <v>108</v>
      </c>
      <c r="C39" s="6" t="s">
        <v>493</v>
      </c>
      <c r="D39" s="6" t="s">
        <v>663</v>
      </c>
      <c r="E39" s="6" t="s">
        <v>573</v>
      </c>
      <c r="F39" s="6" t="s">
        <v>620</v>
      </c>
      <c r="G39" s="8" t="n">
        <v>300</v>
      </c>
      <c r="H39" s="6" t="s">
        <v>61</v>
      </c>
      <c r="I39" s="6" t="s">
        <v>205</v>
      </c>
      <c r="J39" s="6" t="s">
        <v>576</v>
      </c>
      <c r="K39" s="6"/>
      <c r="L39" s="9"/>
    </row>
    <row r="40" customFormat="false" ht="15" hidden="false" customHeight="false" outlineLevel="0" collapsed="false">
      <c r="A40" s="6" t="s">
        <v>664</v>
      </c>
      <c r="B40" s="6" t="s">
        <v>100</v>
      </c>
      <c r="C40" s="6" t="s">
        <v>505</v>
      </c>
      <c r="D40" s="6" t="s">
        <v>665</v>
      </c>
      <c r="E40" s="6" t="s">
        <v>594</v>
      </c>
      <c r="F40" s="6" t="s">
        <v>574</v>
      </c>
      <c r="G40" s="8" t="n">
        <v>0</v>
      </c>
      <c r="H40" s="6" t="s">
        <v>61</v>
      </c>
      <c r="I40" s="6" t="s">
        <v>575</v>
      </c>
      <c r="J40" s="6" t="s">
        <v>576</v>
      </c>
      <c r="K40" s="6"/>
      <c r="L40" s="9"/>
    </row>
    <row r="41" customFormat="false" ht="15" hidden="false" customHeight="false" outlineLevel="0" collapsed="false">
      <c r="A41" s="6" t="s">
        <v>666</v>
      </c>
      <c r="B41" s="6" t="s">
        <v>100</v>
      </c>
      <c r="C41" s="6" t="s">
        <v>505</v>
      </c>
      <c r="D41" s="6" t="s">
        <v>667</v>
      </c>
      <c r="E41" s="6" t="s">
        <v>623</v>
      </c>
      <c r="F41" s="6" t="s">
        <v>574</v>
      </c>
      <c r="G41" s="8" t="n">
        <v>20</v>
      </c>
      <c r="H41" s="6" t="s">
        <v>61</v>
      </c>
      <c r="I41" s="6" t="s">
        <v>219</v>
      </c>
      <c r="J41" s="6" t="s">
        <v>576</v>
      </c>
      <c r="K41" s="6"/>
      <c r="L41" s="9"/>
    </row>
    <row r="42" customFormat="false" ht="15" hidden="false" customHeight="false" outlineLevel="0" collapsed="false">
      <c r="A42" s="6" t="s">
        <v>668</v>
      </c>
      <c r="B42" s="6" t="s">
        <v>100</v>
      </c>
      <c r="C42" s="6" t="s">
        <v>505</v>
      </c>
      <c r="D42" s="6" t="s">
        <v>669</v>
      </c>
      <c r="E42" s="6" t="s">
        <v>635</v>
      </c>
      <c r="F42" s="6" t="s">
        <v>574</v>
      </c>
      <c r="G42" s="8" t="n">
        <v>15</v>
      </c>
      <c r="H42" s="6" t="s">
        <v>61</v>
      </c>
      <c r="I42" s="6" t="s">
        <v>219</v>
      </c>
      <c r="J42" s="6" t="s">
        <v>586</v>
      </c>
      <c r="K42" s="6" t="s">
        <v>670</v>
      </c>
      <c r="L42" s="9"/>
    </row>
    <row r="43" customFormat="false" ht="15" hidden="false" customHeight="false" outlineLevel="0" collapsed="false">
      <c r="A43" s="6" t="s">
        <v>671</v>
      </c>
      <c r="B43" s="6" t="s">
        <v>118</v>
      </c>
      <c r="C43" s="6" t="s">
        <v>511</v>
      </c>
      <c r="D43" s="6" t="s">
        <v>672</v>
      </c>
      <c r="E43" s="6" t="s">
        <v>582</v>
      </c>
      <c r="F43" s="6" t="s">
        <v>574</v>
      </c>
      <c r="G43" s="10" t="n">
        <v>400</v>
      </c>
      <c r="H43" s="6" t="s">
        <v>80</v>
      </c>
      <c r="I43" s="6" t="s">
        <v>575</v>
      </c>
      <c r="J43" s="6" t="s">
        <v>576</v>
      </c>
      <c r="K43" s="6"/>
      <c r="L43" s="9"/>
    </row>
    <row r="44" customFormat="false" ht="23.85" hidden="false" customHeight="false" outlineLevel="0" collapsed="false">
      <c r="A44" s="6" t="s">
        <v>673</v>
      </c>
      <c r="B44" s="6" t="s">
        <v>118</v>
      </c>
      <c r="C44" s="6" t="s">
        <v>511</v>
      </c>
      <c r="D44" s="6" t="s">
        <v>674</v>
      </c>
      <c r="E44" s="6" t="s">
        <v>635</v>
      </c>
      <c r="F44" s="6" t="s">
        <v>574</v>
      </c>
      <c r="G44" s="10" t="n">
        <v>300</v>
      </c>
      <c r="H44" s="6" t="s">
        <v>80</v>
      </c>
      <c r="I44" s="6" t="s">
        <v>575</v>
      </c>
      <c r="J44" s="6" t="s">
        <v>576</v>
      </c>
      <c r="K44" s="6"/>
      <c r="L44" s="9"/>
    </row>
    <row r="45" customFormat="false" ht="15" hidden="false" customHeight="false" outlineLevel="0" collapsed="false">
      <c r="A45" s="6" t="s">
        <v>675</v>
      </c>
      <c r="B45" s="6" t="s">
        <v>118</v>
      </c>
      <c r="C45" s="6" t="s">
        <v>511</v>
      </c>
      <c r="D45" s="6" t="s">
        <v>676</v>
      </c>
      <c r="E45" s="6" t="s">
        <v>573</v>
      </c>
      <c r="F45" s="6" t="s">
        <v>583</v>
      </c>
      <c r="G45" s="10" t="n">
        <v>1500</v>
      </c>
      <c r="H45" s="6" t="s">
        <v>80</v>
      </c>
      <c r="I45" s="6" t="s">
        <v>575</v>
      </c>
      <c r="J45" s="6" t="s">
        <v>576</v>
      </c>
      <c r="K45" s="6"/>
      <c r="L45" s="9"/>
    </row>
    <row r="46" customFormat="false" ht="23.85" hidden="false" customHeight="false" outlineLevel="0" collapsed="false">
      <c r="A46" s="6" t="s">
        <v>677</v>
      </c>
      <c r="B46" s="6" t="s">
        <v>118</v>
      </c>
      <c r="C46" s="6" t="s">
        <v>518</v>
      </c>
      <c r="D46" s="6" t="s">
        <v>678</v>
      </c>
      <c r="E46" s="6" t="s">
        <v>635</v>
      </c>
      <c r="F46" s="6" t="s">
        <v>583</v>
      </c>
      <c r="G46" s="10" t="n">
        <v>1000</v>
      </c>
      <c r="H46" s="6" t="s">
        <v>80</v>
      </c>
      <c r="I46" s="6" t="s">
        <v>575</v>
      </c>
      <c r="J46" s="6" t="s">
        <v>586</v>
      </c>
      <c r="K46" s="6" t="s">
        <v>679</v>
      </c>
      <c r="L46" s="9"/>
    </row>
    <row r="47" customFormat="false" ht="23.85" hidden="false" customHeight="false" outlineLevel="0" collapsed="false">
      <c r="A47" s="6" t="s">
        <v>680</v>
      </c>
      <c r="B47" s="6" t="s">
        <v>118</v>
      </c>
      <c r="C47" s="6" t="s">
        <v>518</v>
      </c>
      <c r="D47" s="6" t="s">
        <v>681</v>
      </c>
      <c r="E47" s="6" t="s">
        <v>682</v>
      </c>
      <c r="F47" s="6" t="s">
        <v>620</v>
      </c>
      <c r="G47" s="10" t="n">
        <v>5000</v>
      </c>
      <c r="H47" s="6" t="s">
        <v>80</v>
      </c>
      <c r="I47" s="6" t="s">
        <v>575</v>
      </c>
      <c r="J47" s="6" t="s">
        <v>586</v>
      </c>
      <c r="K47" s="6" t="s">
        <v>683</v>
      </c>
      <c r="L47" s="9"/>
    </row>
    <row r="48" customFormat="false" ht="15" hidden="false" customHeight="false" outlineLevel="0" collapsed="false">
      <c r="A48" s="6" t="s">
        <v>684</v>
      </c>
      <c r="B48" s="6" t="s">
        <v>118</v>
      </c>
      <c r="C48" s="6" t="s">
        <v>518</v>
      </c>
      <c r="D48" s="6" t="s">
        <v>685</v>
      </c>
      <c r="E48" s="6" t="s">
        <v>579</v>
      </c>
      <c r="F48" s="6" t="s">
        <v>574</v>
      </c>
      <c r="G48" s="10" t="n">
        <v>500</v>
      </c>
      <c r="H48" s="6" t="s">
        <v>80</v>
      </c>
      <c r="I48" s="6" t="s">
        <v>219</v>
      </c>
      <c r="J48" s="6" t="s">
        <v>576</v>
      </c>
      <c r="K48" s="6"/>
      <c r="L48" s="9"/>
    </row>
    <row r="49" customFormat="false" ht="15" hidden="false" customHeight="false" outlineLevel="0" collapsed="false">
      <c r="A49" s="6" t="s">
        <v>686</v>
      </c>
      <c r="B49" s="6" t="s">
        <v>118</v>
      </c>
      <c r="C49" s="6" t="s">
        <v>524</v>
      </c>
      <c r="D49" s="6" t="s">
        <v>687</v>
      </c>
      <c r="E49" s="6" t="s">
        <v>623</v>
      </c>
      <c r="F49" s="6" t="s">
        <v>574</v>
      </c>
      <c r="G49" s="10" t="n">
        <v>400</v>
      </c>
      <c r="H49" s="6" t="s">
        <v>80</v>
      </c>
      <c r="I49" s="6" t="s">
        <v>575</v>
      </c>
      <c r="J49" s="6" t="s">
        <v>576</v>
      </c>
      <c r="K49" s="6"/>
      <c r="L49" s="9"/>
    </row>
    <row r="50" customFormat="false" ht="15" hidden="false" customHeight="false" outlineLevel="0" collapsed="false">
      <c r="A50" s="6" t="s">
        <v>688</v>
      </c>
      <c r="B50" s="6" t="s">
        <v>118</v>
      </c>
      <c r="C50" s="6" t="s">
        <v>511</v>
      </c>
      <c r="D50" s="6" t="s">
        <v>689</v>
      </c>
      <c r="E50" s="6" t="s">
        <v>582</v>
      </c>
      <c r="F50" s="6" t="s">
        <v>583</v>
      </c>
      <c r="G50" s="10" t="n">
        <v>1500</v>
      </c>
      <c r="H50" s="6" t="s">
        <v>80</v>
      </c>
      <c r="I50" s="6" t="s">
        <v>205</v>
      </c>
      <c r="J50" s="6" t="s">
        <v>576</v>
      </c>
      <c r="K50" s="6"/>
      <c r="L50" s="9"/>
    </row>
    <row r="51" customFormat="false" ht="15" hidden="false" customHeight="false" outlineLevel="0" collapsed="false">
      <c r="A51" s="6" t="s">
        <v>690</v>
      </c>
      <c r="B51" s="6" t="s">
        <v>126</v>
      </c>
      <c r="C51" s="6" t="s">
        <v>531</v>
      </c>
      <c r="D51" s="6" t="s">
        <v>691</v>
      </c>
      <c r="E51" s="6" t="s">
        <v>582</v>
      </c>
      <c r="F51" s="6" t="s">
        <v>574</v>
      </c>
      <c r="G51" s="10" t="n">
        <v>500</v>
      </c>
      <c r="H51" s="6" t="s">
        <v>80</v>
      </c>
      <c r="I51" s="6" t="s">
        <v>575</v>
      </c>
      <c r="J51" s="6" t="s">
        <v>576</v>
      </c>
      <c r="K51" s="6" t="s">
        <v>692</v>
      </c>
      <c r="L51" s="9"/>
    </row>
    <row r="52" customFormat="false" ht="15" hidden="false" customHeight="false" outlineLevel="0" collapsed="false">
      <c r="A52" s="6" t="s">
        <v>693</v>
      </c>
      <c r="B52" s="6" t="s">
        <v>126</v>
      </c>
      <c r="C52" s="6" t="s">
        <v>531</v>
      </c>
      <c r="D52" s="6" t="s">
        <v>694</v>
      </c>
      <c r="E52" s="6" t="s">
        <v>579</v>
      </c>
      <c r="F52" s="6" t="s">
        <v>574</v>
      </c>
      <c r="G52" s="10" t="n">
        <v>400</v>
      </c>
      <c r="H52" s="6" t="s">
        <v>80</v>
      </c>
      <c r="I52" s="6" t="s">
        <v>575</v>
      </c>
      <c r="J52" s="6" t="s">
        <v>576</v>
      </c>
      <c r="K52" s="6"/>
      <c r="L52" s="9"/>
    </row>
    <row r="53" customFormat="false" ht="15" hidden="false" customHeight="false" outlineLevel="0" collapsed="false">
      <c r="A53" s="6" t="s">
        <v>695</v>
      </c>
      <c r="B53" s="6" t="s">
        <v>126</v>
      </c>
      <c r="C53" s="6" t="s">
        <v>531</v>
      </c>
      <c r="D53" s="6" t="s">
        <v>696</v>
      </c>
      <c r="E53" s="6" t="s">
        <v>582</v>
      </c>
      <c r="F53" s="6" t="s">
        <v>583</v>
      </c>
      <c r="G53" s="10" t="n">
        <v>1200</v>
      </c>
      <c r="H53" s="6" t="s">
        <v>80</v>
      </c>
      <c r="I53" s="6" t="s">
        <v>575</v>
      </c>
      <c r="J53" s="6" t="s">
        <v>576</v>
      </c>
      <c r="K53" s="6"/>
      <c r="L53" s="9"/>
    </row>
    <row r="54" customFormat="false" ht="15" hidden="false" customHeight="false" outlineLevel="0" collapsed="false">
      <c r="A54" s="6" t="s">
        <v>697</v>
      </c>
      <c r="B54" s="6" t="s">
        <v>126</v>
      </c>
      <c r="C54" s="6" t="s">
        <v>531</v>
      </c>
      <c r="D54" s="6" t="s">
        <v>698</v>
      </c>
      <c r="E54" s="6" t="s">
        <v>597</v>
      </c>
      <c r="F54" s="6" t="s">
        <v>583</v>
      </c>
      <c r="G54" s="10" t="n">
        <v>1500</v>
      </c>
      <c r="H54" s="6" t="s">
        <v>80</v>
      </c>
      <c r="I54" s="6" t="s">
        <v>219</v>
      </c>
      <c r="J54" s="6" t="s">
        <v>576</v>
      </c>
      <c r="K54" s="6" t="s">
        <v>699</v>
      </c>
      <c r="L54" s="9"/>
    </row>
    <row r="55" customFormat="false" ht="15" hidden="false" customHeight="false" outlineLevel="0" collapsed="false">
      <c r="A55" s="6" t="s">
        <v>700</v>
      </c>
      <c r="B55" s="6" t="s">
        <v>126</v>
      </c>
      <c r="C55" s="6" t="s">
        <v>531</v>
      </c>
      <c r="D55" s="6" t="s">
        <v>701</v>
      </c>
      <c r="E55" s="6" t="s">
        <v>573</v>
      </c>
      <c r="F55" s="6" t="s">
        <v>574</v>
      </c>
      <c r="G55" s="10" t="n">
        <v>500</v>
      </c>
      <c r="H55" s="6" t="s">
        <v>80</v>
      </c>
      <c r="I55" s="6" t="s">
        <v>205</v>
      </c>
      <c r="J55" s="6" t="s">
        <v>576</v>
      </c>
      <c r="K55" s="6"/>
      <c r="L55" s="9"/>
    </row>
    <row r="56" customFormat="false" ht="15" hidden="false" customHeight="false" outlineLevel="0" collapsed="false">
      <c r="A56" s="6" t="s">
        <v>702</v>
      </c>
      <c r="B56" s="6" t="s">
        <v>134</v>
      </c>
      <c r="C56" s="6" t="s">
        <v>538</v>
      </c>
      <c r="D56" s="6" t="s">
        <v>703</v>
      </c>
      <c r="E56" s="6" t="s">
        <v>635</v>
      </c>
      <c r="F56" s="6" t="s">
        <v>574</v>
      </c>
      <c r="G56" s="10" t="n">
        <v>200</v>
      </c>
      <c r="H56" s="6" t="s">
        <v>80</v>
      </c>
      <c r="I56" s="6" t="s">
        <v>575</v>
      </c>
      <c r="J56" s="6" t="s">
        <v>586</v>
      </c>
      <c r="K56" s="6" t="s">
        <v>704</v>
      </c>
      <c r="L56" s="9"/>
    </row>
    <row r="57" customFormat="false" ht="15" hidden="false" customHeight="false" outlineLevel="0" collapsed="false">
      <c r="A57" s="6" t="s">
        <v>705</v>
      </c>
      <c r="B57" s="6" t="s">
        <v>134</v>
      </c>
      <c r="C57" s="6" t="s">
        <v>538</v>
      </c>
      <c r="D57" s="6" t="s">
        <v>706</v>
      </c>
      <c r="E57" s="6" t="s">
        <v>579</v>
      </c>
      <c r="F57" s="6" t="s">
        <v>574</v>
      </c>
      <c r="G57" s="10" t="n">
        <v>300</v>
      </c>
      <c r="H57" s="6" t="s">
        <v>80</v>
      </c>
      <c r="I57" s="6" t="s">
        <v>575</v>
      </c>
      <c r="J57" s="6" t="s">
        <v>576</v>
      </c>
      <c r="K57" s="6"/>
      <c r="L57" s="9"/>
    </row>
    <row r="58" customFormat="false" ht="15" hidden="false" customHeight="false" outlineLevel="0" collapsed="false">
      <c r="A58" s="6" t="s">
        <v>707</v>
      </c>
      <c r="B58" s="6" t="s">
        <v>134</v>
      </c>
      <c r="C58" s="6" t="s">
        <v>538</v>
      </c>
      <c r="D58" s="6" t="s">
        <v>708</v>
      </c>
      <c r="E58" s="6" t="s">
        <v>573</v>
      </c>
      <c r="F58" s="6" t="s">
        <v>583</v>
      </c>
      <c r="G58" s="10" t="n">
        <v>1500</v>
      </c>
      <c r="H58" s="6" t="s">
        <v>80</v>
      </c>
      <c r="I58" s="6" t="s">
        <v>575</v>
      </c>
      <c r="J58" s="6" t="s">
        <v>576</v>
      </c>
      <c r="K58" s="6"/>
      <c r="L58" s="9"/>
    </row>
    <row r="59" customFormat="false" ht="15" hidden="false" customHeight="false" outlineLevel="0" collapsed="false">
      <c r="A59" s="6" t="s">
        <v>709</v>
      </c>
      <c r="B59" s="6" t="s">
        <v>134</v>
      </c>
      <c r="C59" s="6" t="s">
        <v>538</v>
      </c>
      <c r="D59" s="6" t="s">
        <v>710</v>
      </c>
      <c r="E59" s="6" t="s">
        <v>682</v>
      </c>
      <c r="F59" s="6" t="s">
        <v>574</v>
      </c>
      <c r="G59" s="10" t="n">
        <v>400</v>
      </c>
      <c r="H59" s="6" t="s">
        <v>80</v>
      </c>
      <c r="I59" s="6" t="s">
        <v>219</v>
      </c>
      <c r="J59" s="6" t="s">
        <v>576</v>
      </c>
      <c r="K59" s="6"/>
      <c r="L59" s="9"/>
    </row>
    <row r="60" customFormat="false" ht="15" hidden="false" customHeight="false" outlineLevel="0" collapsed="false">
      <c r="A60" s="6" t="s">
        <v>711</v>
      </c>
      <c r="B60" s="6" t="s">
        <v>134</v>
      </c>
      <c r="C60" s="6" t="s">
        <v>538</v>
      </c>
      <c r="D60" s="6" t="s">
        <v>712</v>
      </c>
      <c r="E60" s="6" t="s">
        <v>623</v>
      </c>
      <c r="F60" s="6" t="s">
        <v>574</v>
      </c>
      <c r="G60" s="10" t="n">
        <v>300</v>
      </c>
      <c r="H60" s="6" t="s">
        <v>80</v>
      </c>
      <c r="I60" s="6" t="s">
        <v>205</v>
      </c>
      <c r="J60" s="6" t="s">
        <v>576</v>
      </c>
      <c r="K60" s="6"/>
      <c r="L60" s="9"/>
    </row>
    <row r="61" customFormat="false" ht="15" hidden="false" customHeight="false" outlineLevel="0" collapsed="false">
      <c r="A61" s="6" t="s">
        <v>713</v>
      </c>
      <c r="B61" s="6" t="s">
        <v>142</v>
      </c>
      <c r="C61" s="6" t="s">
        <v>544</v>
      </c>
      <c r="D61" s="6" t="s">
        <v>714</v>
      </c>
      <c r="E61" s="6" t="s">
        <v>582</v>
      </c>
      <c r="F61" s="6" t="s">
        <v>583</v>
      </c>
      <c r="G61" s="10" t="n">
        <v>1000</v>
      </c>
      <c r="H61" s="6" t="s">
        <v>80</v>
      </c>
      <c r="I61" s="6" t="s">
        <v>575</v>
      </c>
      <c r="J61" s="6" t="s">
        <v>586</v>
      </c>
      <c r="K61" s="6" t="s">
        <v>715</v>
      </c>
      <c r="L61" s="9"/>
    </row>
    <row r="62" customFormat="false" ht="15" hidden="false" customHeight="false" outlineLevel="0" collapsed="false">
      <c r="A62" s="6" t="s">
        <v>716</v>
      </c>
      <c r="B62" s="6" t="s">
        <v>142</v>
      </c>
      <c r="C62" s="6" t="s">
        <v>544</v>
      </c>
      <c r="D62" s="6" t="s">
        <v>717</v>
      </c>
      <c r="E62" s="6" t="s">
        <v>579</v>
      </c>
      <c r="F62" s="6" t="s">
        <v>574</v>
      </c>
      <c r="G62" s="10" t="n">
        <v>400</v>
      </c>
      <c r="H62" s="6" t="s">
        <v>80</v>
      </c>
      <c r="I62" s="6" t="s">
        <v>575</v>
      </c>
      <c r="J62" s="6" t="s">
        <v>576</v>
      </c>
      <c r="K62" s="6"/>
      <c r="L62" s="9"/>
    </row>
    <row r="63" customFormat="false" ht="15" hidden="false" customHeight="false" outlineLevel="0" collapsed="false">
      <c r="A63" s="6" t="s">
        <v>718</v>
      </c>
      <c r="B63" s="6" t="s">
        <v>142</v>
      </c>
      <c r="C63" s="6" t="s">
        <v>544</v>
      </c>
      <c r="D63" s="6" t="s">
        <v>719</v>
      </c>
      <c r="E63" s="6" t="s">
        <v>635</v>
      </c>
      <c r="F63" s="6" t="s">
        <v>583</v>
      </c>
      <c r="G63" s="10" t="n">
        <v>800</v>
      </c>
      <c r="H63" s="6" t="s">
        <v>80</v>
      </c>
      <c r="I63" s="6" t="s">
        <v>219</v>
      </c>
      <c r="J63" s="6" t="s">
        <v>586</v>
      </c>
      <c r="K63" s="6" t="s">
        <v>720</v>
      </c>
      <c r="L63" s="9"/>
    </row>
    <row r="64" customFormat="false" ht="15" hidden="false" customHeight="false" outlineLevel="0" collapsed="false">
      <c r="A64" s="6" t="s">
        <v>721</v>
      </c>
      <c r="B64" s="6" t="s">
        <v>142</v>
      </c>
      <c r="C64" s="6" t="s">
        <v>544</v>
      </c>
      <c r="D64" s="6" t="s">
        <v>722</v>
      </c>
      <c r="E64" s="6" t="s">
        <v>582</v>
      </c>
      <c r="F64" s="6" t="s">
        <v>574</v>
      </c>
      <c r="G64" s="10" t="n">
        <v>400</v>
      </c>
      <c r="H64" s="6" t="s">
        <v>80</v>
      </c>
      <c r="I64" s="6" t="s">
        <v>205</v>
      </c>
      <c r="J64" s="6" t="s">
        <v>576</v>
      </c>
      <c r="K64" s="6"/>
      <c r="L64" s="9"/>
    </row>
    <row r="65" customFormat="false" ht="15" hidden="false" customHeight="false" outlineLevel="0" collapsed="false">
      <c r="A65" s="6" t="s">
        <v>723</v>
      </c>
      <c r="B65" s="6" t="s">
        <v>149</v>
      </c>
      <c r="C65" s="6" t="s">
        <v>551</v>
      </c>
      <c r="D65" s="6" t="s">
        <v>724</v>
      </c>
      <c r="E65" s="6" t="s">
        <v>579</v>
      </c>
      <c r="F65" s="6" t="s">
        <v>574</v>
      </c>
      <c r="G65" s="8" t="n">
        <v>20</v>
      </c>
      <c r="H65" s="6" t="s">
        <v>61</v>
      </c>
      <c r="I65" s="6" t="s">
        <v>575</v>
      </c>
      <c r="J65" s="6" t="s">
        <v>576</v>
      </c>
      <c r="K65" s="6"/>
      <c r="L65" s="9"/>
    </row>
    <row r="66" customFormat="false" ht="15" hidden="false" customHeight="false" outlineLevel="0" collapsed="false">
      <c r="A66" s="6" t="s">
        <v>725</v>
      </c>
      <c r="B66" s="6" t="s">
        <v>149</v>
      </c>
      <c r="C66" s="6" t="s">
        <v>551</v>
      </c>
      <c r="D66" s="6" t="s">
        <v>726</v>
      </c>
      <c r="E66" s="6" t="s">
        <v>623</v>
      </c>
      <c r="F66" s="6" t="s">
        <v>583</v>
      </c>
      <c r="G66" s="8" t="n">
        <v>60</v>
      </c>
      <c r="H66" s="6" t="s">
        <v>61</v>
      </c>
      <c r="I66" s="6" t="s">
        <v>219</v>
      </c>
      <c r="J66" s="6" t="s">
        <v>586</v>
      </c>
      <c r="K66" s="6" t="s">
        <v>727</v>
      </c>
      <c r="L66" s="9"/>
    </row>
    <row r="67" customFormat="false" ht="15" hidden="false" customHeight="false" outlineLevel="0" collapsed="false">
      <c r="A67" s="6" t="s">
        <v>728</v>
      </c>
      <c r="B67" s="6" t="s">
        <v>149</v>
      </c>
      <c r="C67" s="6" t="s">
        <v>551</v>
      </c>
      <c r="D67" s="6" t="s">
        <v>729</v>
      </c>
      <c r="E67" s="6" t="s">
        <v>582</v>
      </c>
      <c r="F67" s="6" t="s">
        <v>574</v>
      </c>
      <c r="G67" s="8" t="n">
        <v>15</v>
      </c>
      <c r="H67" s="6" t="s">
        <v>61</v>
      </c>
      <c r="I67" s="6" t="s">
        <v>219</v>
      </c>
      <c r="J67" s="6" t="s">
        <v>576</v>
      </c>
      <c r="K67" s="6"/>
      <c r="L67" s="9"/>
    </row>
    <row r="68" customFormat="false" ht="15" hidden="false" customHeight="false" outlineLevel="0" collapsed="false">
      <c r="A68" s="6" t="s">
        <v>730</v>
      </c>
      <c r="B68" s="6" t="s">
        <v>157</v>
      </c>
      <c r="C68" s="6" t="s">
        <v>558</v>
      </c>
      <c r="D68" s="6" t="s">
        <v>731</v>
      </c>
      <c r="E68" s="6" t="s">
        <v>594</v>
      </c>
      <c r="F68" s="6" t="s">
        <v>574</v>
      </c>
      <c r="G68" s="8" t="n">
        <v>0</v>
      </c>
      <c r="H68" s="6" t="s">
        <v>61</v>
      </c>
      <c r="I68" s="6" t="s">
        <v>575</v>
      </c>
      <c r="J68" s="6" t="s">
        <v>576</v>
      </c>
      <c r="K68" s="6"/>
      <c r="L68" s="9"/>
    </row>
    <row r="69" customFormat="false" ht="15" hidden="false" customHeight="false" outlineLevel="0" collapsed="false">
      <c r="A69" s="6" t="s">
        <v>732</v>
      </c>
      <c r="B69" s="6" t="s">
        <v>157</v>
      </c>
      <c r="C69" s="6" t="s">
        <v>558</v>
      </c>
      <c r="D69" s="6" t="s">
        <v>733</v>
      </c>
      <c r="E69" s="6" t="s">
        <v>582</v>
      </c>
      <c r="F69" s="6" t="s">
        <v>574</v>
      </c>
      <c r="G69" s="8" t="n">
        <v>20</v>
      </c>
      <c r="H69" s="6" t="s">
        <v>61</v>
      </c>
      <c r="I69" s="6" t="s">
        <v>575</v>
      </c>
      <c r="J69" s="6" t="s">
        <v>576</v>
      </c>
      <c r="K69" s="6"/>
      <c r="L69" s="9"/>
    </row>
    <row r="70" customFormat="false" ht="15" hidden="false" customHeight="false" outlineLevel="0" collapsed="false">
      <c r="A70" s="6" t="s">
        <v>734</v>
      </c>
      <c r="B70" s="6" t="s">
        <v>157</v>
      </c>
      <c r="C70" s="6" t="s">
        <v>558</v>
      </c>
      <c r="D70" s="6" t="s">
        <v>735</v>
      </c>
      <c r="E70" s="6" t="s">
        <v>579</v>
      </c>
      <c r="F70" s="6" t="s">
        <v>583</v>
      </c>
      <c r="G70" s="8" t="n">
        <v>80</v>
      </c>
      <c r="H70" s="6" t="s">
        <v>61</v>
      </c>
      <c r="I70" s="6" t="s">
        <v>575</v>
      </c>
      <c r="J70" s="6" t="s">
        <v>576</v>
      </c>
      <c r="K70" s="6"/>
      <c r="L70" s="9"/>
    </row>
    <row r="71" customFormat="false" ht="15" hidden="false" customHeight="false" outlineLevel="0" collapsed="false">
      <c r="A71" s="6" t="s">
        <v>736</v>
      </c>
      <c r="B71" s="6" t="s">
        <v>157</v>
      </c>
      <c r="C71" s="6" t="s">
        <v>558</v>
      </c>
      <c r="D71" s="6" t="s">
        <v>737</v>
      </c>
      <c r="E71" s="6" t="s">
        <v>635</v>
      </c>
      <c r="F71" s="6" t="s">
        <v>574</v>
      </c>
      <c r="G71" s="8" t="n">
        <v>10</v>
      </c>
      <c r="H71" s="6" t="s">
        <v>61</v>
      </c>
      <c r="I71" s="6" t="s">
        <v>575</v>
      </c>
      <c r="J71" s="6" t="s">
        <v>576</v>
      </c>
      <c r="K71" s="6"/>
      <c r="L71" s="9"/>
    </row>
    <row r="72" customFormat="false" ht="15" hidden="false" customHeight="false" outlineLevel="0" collapsed="false">
      <c r="A72" s="6" t="s">
        <v>738</v>
      </c>
      <c r="B72" s="6" t="s">
        <v>157</v>
      </c>
      <c r="C72" s="6" t="s">
        <v>558</v>
      </c>
      <c r="D72" s="6" t="s">
        <v>739</v>
      </c>
      <c r="E72" s="6" t="s">
        <v>582</v>
      </c>
      <c r="F72" s="6" t="s">
        <v>574</v>
      </c>
      <c r="G72" s="8" t="n">
        <v>20</v>
      </c>
      <c r="H72" s="6" t="s">
        <v>61</v>
      </c>
      <c r="I72" s="6" t="s">
        <v>205</v>
      </c>
      <c r="J72" s="6" t="s">
        <v>576</v>
      </c>
      <c r="K72" s="6"/>
      <c r="L72" s="9"/>
    </row>
    <row r="74" customFormat="false" ht="15" hidden="false" customHeight="false" outlineLevel="0" collapsed="false">
      <c r="A74" s="13" t="s">
        <v>740</v>
      </c>
    </row>
  </sheetData>
  <autoFilter ref="A1:L72"/>
  <dataValidations count="5">
    <dataValidation allowBlank="true" errorStyle="stop" operator="between" showDropDown="false" showErrorMessage="false" showInputMessage="false" sqref="E2:E500" type="list">
      <formula1>"Leader,Planner,Expert,Maker,Checker,Storyteller,Patron,User"</formula1>
      <formula2>0</formula2>
    </dataValidation>
    <dataValidation allowBlank="true" errorStyle="stop" operator="between" showDropDown="false" showErrorMessage="false" showInputMessage="false" sqref="F2:F500" type="list">
      <formula1>"S,M,L"</formula1>
      <formula2>0</formula2>
    </dataValidation>
    <dataValidation allowBlank="true" errorStyle="stop" operator="between" showDropDown="false" showErrorMessage="false" showInputMessage="false" sqref="H2:H500" type="list">
      <formula1>"$,₹"</formula1>
      <formula2>0</formula2>
    </dataValidation>
    <dataValidation allowBlank="true" errorStyle="stop" operator="between" showDropDown="false" showErrorMessage="false" showInputMessage="false" sqref="I2:I500" type="list">
      <formula1>"Open,Locked,Done"</formula1>
      <formula2>0</formula2>
    </dataValidation>
    <dataValidation allowBlank="true" errorStyle="stop" operator="between" showDropDown="false" showErrorMessage="false" showInputMessage="false" sqref="J2:J500" type="list">
      <formula1>"Online,On ground"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5" min="4" style="0" width="12"/>
    <col collapsed="false" customWidth="true" hidden="false" outlineLevel="0" max="6" min="6" style="0" width="11"/>
    <col collapsed="false" customWidth="true" hidden="false" outlineLevel="0" max="7" min="7" style="0" width="48"/>
    <col collapsed="false" customWidth="true" hidden="false" outlineLevel="0" max="8" min="8" style="0" width="18"/>
    <col collapsed="false" customWidth="true" hidden="false" outlineLevel="0" max="9" min="9" style="0" width="20"/>
    <col collapsed="false" customWidth="true" hidden="false" outlineLevel="0" max="10" min="10" style="0" width="18"/>
    <col collapsed="false" customWidth="true" hidden="false" outlineLevel="0" max="11" min="11" style="0" width="20"/>
    <col collapsed="false" customWidth="true" hidden="false" outlineLevel="0" max="12" min="12" style="0" width="22"/>
    <col collapsed="false" customWidth="true" hidden="false" outlineLevel="0" max="13" min="13" style="0" width="7"/>
    <col collapsed="false" customWidth="true" hidden="false" outlineLevel="0" max="15" min="14" style="0" width="8"/>
    <col collapsed="false" customWidth="true" hidden="false" outlineLevel="0" max="16" min="16" style="0" width="18"/>
    <col collapsed="false" customWidth="true" hidden="false" outlineLevel="0" max="17" min="17" style="0" width="34"/>
    <col collapsed="false" customWidth="true" hidden="false" outlineLevel="0" max="18" min="18" style="0" width="9"/>
    <col collapsed="false" customWidth="true" hidden="false" outlineLevel="0" max="19" min="19" style="0" width="34"/>
  </cols>
  <sheetData>
    <row r="1" customFormat="false" ht="30" hidden="false" customHeight="true" outlineLevel="0" collapsed="false">
      <c r="A1" s="5" t="s">
        <v>741</v>
      </c>
      <c r="B1" s="5" t="s">
        <v>742</v>
      </c>
      <c r="C1" s="5" t="s">
        <v>743</v>
      </c>
      <c r="D1" s="5" t="s">
        <v>744</v>
      </c>
      <c r="E1" s="5" t="s">
        <v>745</v>
      </c>
      <c r="F1" s="5" t="s">
        <v>746</v>
      </c>
      <c r="G1" s="5" t="s">
        <v>747</v>
      </c>
      <c r="H1" s="5" t="s">
        <v>748</v>
      </c>
      <c r="I1" s="5" t="s">
        <v>749</v>
      </c>
      <c r="J1" s="5" t="s">
        <v>750</v>
      </c>
      <c r="K1" s="5" t="s">
        <v>749</v>
      </c>
      <c r="L1" s="5" t="s">
        <v>751</v>
      </c>
      <c r="M1" s="5" t="s">
        <v>752</v>
      </c>
      <c r="N1" s="5" t="s">
        <v>753</v>
      </c>
      <c r="O1" s="5" t="s">
        <v>754</v>
      </c>
      <c r="P1" s="5" t="s">
        <v>403</v>
      </c>
      <c r="Q1" s="5" t="s">
        <v>755</v>
      </c>
      <c r="R1" s="5" t="s">
        <v>756</v>
      </c>
      <c r="S1" s="5" t="s">
        <v>54</v>
      </c>
    </row>
    <row r="2" customFormat="false" ht="23.85" hidden="false" customHeight="false" outlineLevel="0" collapsed="false">
      <c r="A2" s="6" t="s">
        <v>414</v>
      </c>
      <c r="B2" s="6" t="s">
        <v>757</v>
      </c>
      <c r="C2" s="6" t="s">
        <v>758</v>
      </c>
      <c r="D2" s="6" t="s">
        <v>759</v>
      </c>
      <c r="E2" s="6" t="s">
        <v>83</v>
      </c>
      <c r="F2" s="6" t="s">
        <v>682</v>
      </c>
      <c r="G2" s="6" t="s">
        <v>760</v>
      </c>
      <c r="H2" s="6" t="s">
        <v>761</v>
      </c>
      <c r="I2" s="6" t="s">
        <v>762</v>
      </c>
      <c r="J2" s="6" t="s">
        <v>763</v>
      </c>
      <c r="K2" s="6" t="s">
        <v>764</v>
      </c>
      <c r="L2" s="6" t="s">
        <v>765</v>
      </c>
      <c r="M2" s="6" t="n">
        <v>14</v>
      </c>
      <c r="N2" s="6" t="n">
        <v>88</v>
      </c>
      <c r="O2" s="14" t="n">
        <v>4.9</v>
      </c>
      <c r="P2" s="6" t="s">
        <v>413</v>
      </c>
      <c r="Q2" s="6" t="s">
        <v>766</v>
      </c>
      <c r="R2" s="6" t="s">
        <v>767</v>
      </c>
      <c r="S2" s="9"/>
    </row>
    <row r="3" customFormat="false" ht="15" hidden="false" customHeight="false" outlineLevel="0" collapsed="false">
      <c r="A3" s="6" t="s">
        <v>768</v>
      </c>
      <c r="B3" s="6" t="s">
        <v>769</v>
      </c>
      <c r="C3" s="6" t="s">
        <v>770</v>
      </c>
      <c r="D3" s="6" t="s">
        <v>771</v>
      </c>
      <c r="E3" s="6" t="s">
        <v>772</v>
      </c>
      <c r="F3" s="6" t="s">
        <v>573</v>
      </c>
      <c r="G3" s="6" t="s">
        <v>773</v>
      </c>
      <c r="H3" s="6" t="s">
        <v>774</v>
      </c>
      <c r="I3" s="6" t="s">
        <v>775</v>
      </c>
      <c r="J3" s="6" t="s">
        <v>776</v>
      </c>
      <c r="K3" s="6" t="s">
        <v>777</v>
      </c>
      <c r="L3" s="6" t="s">
        <v>778</v>
      </c>
      <c r="M3" s="6" t="n">
        <v>11</v>
      </c>
      <c r="N3" s="6" t="n">
        <v>63</v>
      </c>
      <c r="O3" s="14" t="n">
        <v>4.7</v>
      </c>
      <c r="P3" s="6" t="s">
        <v>413</v>
      </c>
      <c r="Q3" s="6" t="s">
        <v>779</v>
      </c>
      <c r="R3" s="6" t="s">
        <v>780</v>
      </c>
      <c r="S3" s="9"/>
    </row>
    <row r="4" customFormat="false" ht="15" hidden="false" customHeight="false" outlineLevel="0" collapsed="false">
      <c r="A4" s="6" t="s">
        <v>781</v>
      </c>
      <c r="B4" s="6" t="s">
        <v>782</v>
      </c>
      <c r="C4" s="6" t="s">
        <v>783</v>
      </c>
      <c r="D4" s="6" t="s">
        <v>784</v>
      </c>
      <c r="E4" s="6" t="s">
        <v>785</v>
      </c>
      <c r="F4" s="6" t="s">
        <v>579</v>
      </c>
      <c r="G4" s="6" t="s">
        <v>786</v>
      </c>
      <c r="H4" s="6" t="s">
        <v>761</v>
      </c>
      <c r="I4" s="6" t="s">
        <v>787</v>
      </c>
      <c r="J4" s="6" t="s">
        <v>788</v>
      </c>
      <c r="K4" s="6" t="s">
        <v>789</v>
      </c>
      <c r="L4" s="6" t="s">
        <v>790</v>
      </c>
      <c r="M4" s="6" t="n">
        <v>9</v>
      </c>
      <c r="N4" s="6" t="n">
        <v>41</v>
      </c>
      <c r="O4" s="14" t="n">
        <v>4.9</v>
      </c>
      <c r="P4" s="6" t="s">
        <v>413</v>
      </c>
      <c r="Q4" s="6" t="s">
        <v>791</v>
      </c>
      <c r="R4" s="6" t="s">
        <v>780</v>
      </c>
      <c r="S4" s="9"/>
    </row>
    <row r="5" customFormat="false" ht="23.85" hidden="false" customHeight="false" outlineLevel="0" collapsed="false">
      <c r="A5" s="6" t="s">
        <v>422</v>
      </c>
      <c r="B5" s="6" t="s">
        <v>792</v>
      </c>
      <c r="C5" s="6" t="s">
        <v>793</v>
      </c>
      <c r="D5" s="6" t="s">
        <v>794</v>
      </c>
      <c r="E5" s="6" t="s">
        <v>795</v>
      </c>
      <c r="F5" s="6" t="s">
        <v>582</v>
      </c>
      <c r="G5" s="6" t="s">
        <v>796</v>
      </c>
      <c r="H5" s="6" t="s">
        <v>797</v>
      </c>
      <c r="I5" s="6" t="s">
        <v>764</v>
      </c>
      <c r="J5" s="6" t="s">
        <v>798</v>
      </c>
      <c r="K5" s="6" t="s">
        <v>799</v>
      </c>
      <c r="L5" s="6" t="s">
        <v>800</v>
      </c>
      <c r="M5" s="6" t="n">
        <v>10</v>
      </c>
      <c r="N5" s="6" t="n">
        <v>38</v>
      </c>
      <c r="O5" s="14" t="n">
        <v>4.8</v>
      </c>
      <c r="P5" s="6" t="s">
        <v>421</v>
      </c>
      <c r="Q5" s="6" t="s">
        <v>801</v>
      </c>
      <c r="R5" s="6" t="s">
        <v>780</v>
      </c>
      <c r="S5" s="9"/>
    </row>
    <row r="6" customFormat="false" ht="15" hidden="false" customHeight="false" outlineLevel="0" collapsed="false">
      <c r="A6" s="6" t="s">
        <v>802</v>
      </c>
      <c r="B6" s="6" t="s">
        <v>803</v>
      </c>
      <c r="C6" s="6" t="s">
        <v>804</v>
      </c>
      <c r="D6" s="6" t="s">
        <v>805</v>
      </c>
      <c r="E6" s="6" t="s">
        <v>805</v>
      </c>
      <c r="F6" s="6" t="s">
        <v>579</v>
      </c>
      <c r="G6" s="6" t="s">
        <v>806</v>
      </c>
      <c r="H6" s="6" t="s">
        <v>763</v>
      </c>
      <c r="I6" s="6" t="s">
        <v>807</v>
      </c>
      <c r="J6" s="6" t="s">
        <v>808</v>
      </c>
      <c r="K6" s="6" t="s">
        <v>809</v>
      </c>
      <c r="L6" s="6" t="s">
        <v>810</v>
      </c>
      <c r="M6" s="6" t="n">
        <v>6</v>
      </c>
      <c r="N6" s="6" t="n">
        <v>9</v>
      </c>
      <c r="O6" s="14" t="n">
        <v>5</v>
      </c>
      <c r="P6" s="6" t="s">
        <v>421</v>
      </c>
      <c r="Q6" s="6" t="s">
        <v>811</v>
      </c>
      <c r="R6" s="6" t="s">
        <v>780</v>
      </c>
      <c r="S6" s="9"/>
    </row>
    <row r="7" customFormat="false" ht="15" hidden="false" customHeight="false" outlineLevel="0" collapsed="false">
      <c r="A7" s="6" t="s">
        <v>430</v>
      </c>
      <c r="B7" s="6" t="s">
        <v>812</v>
      </c>
      <c r="C7" s="6" t="s">
        <v>813</v>
      </c>
      <c r="D7" s="6" t="s">
        <v>814</v>
      </c>
      <c r="E7" s="6" t="s">
        <v>815</v>
      </c>
      <c r="F7" s="6" t="s">
        <v>573</v>
      </c>
      <c r="G7" s="6" t="s">
        <v>816</v>
      </c>
      <c r="H7" s="6" t="s">
        <v>817</v>
      </c>
      <c r="I7" s="6" t="s">
        <v>775</v>
      </c>
      <c r="J7" s="6" t="s">
        <v>818</v>
      </c>
      <c r="K7" s="6" t="s">
        <v>789</v>
      </c>
      <c r="L7" s="6" t="s">
        <v>819</v>
      </c>
      <c r="M7" s="6" t="n">
        <v>4</v>
      </c>
      <c r="N7" s="6" t="n">
        <v>22</v>
      </c>
      <c r="O7" s="14" t="n">
        <v>4.4</v>
      </c>
      <c r="P7" s="6" t="s">
        <v>429</v>
      </c>
      <c r="Q7" s="6" t="s">
        <v>820</v>
      </c>
      <c r="R7" s="6" t="s">
        <v>73</v>
      </c>
      <c r="S7" s="9"/>
    </row>
    <row r="8" customFormat="false" ht="15" hidden="false" customHeight="false" outlineLevel="0" collapsed="false">
      <c r="A8" s="6" t="s">
        <v>437</v>
      </c>
      <c r="B8" s="6" t="s">
        <v>821</v>
      </c>
      <c r="C8" s="6" t="s">
        <v>783</v>
      </c>
      <c r="D8" s="6" t="s">
        <v>822</v>
      </c>
      <c r="E8" s="6" t="s">
        <v>823</v>
      </c>
      <c r="F8" s="6" t="s">
        <v>623</v>
      </c>
      <c r="G8" s="6" t="s">
        <v>824</v>
      </c>
      <c r="H8" s="6" t="s">
        <v>825</v>
      </c>
      <c r="I8" s="6" t="s">
        <v>809</v>
      </c>
      <c r="J8" s="6" t="s">
        <v>826</v>
      </c>
      <c r="K8" s="6" t="s">
        <v>789</v>
      </c>
      <c r="L8" s="6" t="s">
        <v>827</v>
      </c>
      <c r="M8" s="6" t="n">
        <v>3</v>
      </c>
      <c r="N8" s="6" t="n">
        <v>12</v>
      </c>
      <c r="O8" s="14" t="n">
        <v>4.6</v>
      </c>
      <c r="P8" s="6" t="s">
        <v>436</v>
      </c>
      <c r="Q8" s="6" t="s">
        <v>828</v>
      </c>
      <c r="R8" s="6" t="s">
        <v>73</v>
      </c>
      <c r="S8" s="9"/>
    </row>
    <row r="9" customFormat="false" ht="15" hidden="false" customHeight="false" outlineLevel="0" collapsed="false">
      <c r="A9" s="6" t="s">
        <v>829</v>
      </c>
      <c r="B9" s="6" t="s">
        <v>830</v>
      </c>
      <c r="C9" s="6" t="s">
        <v>793</v>
      </c>
      <c r="D9" s="6" t="s">
        <v>831</v>
      </c>
      <c r="E9" s="6" t="s">
        <v>772</v>
      </c>
      <c r="F9" s="6" t="s">
        <v>579</v>
      </c>
      <c r="G9" s="6" t="s">
        <v>832</v>
      </c>
      <c r="H9" s="6" t="s">
        <v>763</v>
      </c>
      <c r="I9" s="6" t="s">
        <v>764</v>
      </c>
      <c r="J9" s="6" t="s">
        <v>761</v>
      </c>
      <c r="K9" s="6" t="s">
        <v>833</v>
      </c>
      <c r="L9" s="6" t="s">
        <v>834</v>
      </c>
      <c r="M9" s="6" t="n">
        <v>8</v>
      </c>
      <c r="N9" s="6" t="n">
        <v>57</v>
      </c>
      <c r="O9" s="14" t="n">
        <v>4.8</v>
      </c>
      <c r="P9" s="6" t="s">
        <v>429</v>
      </c>
      <c r="Q9" s="6" t="s">
        <v>835</v>
      </c>
      <c r="R9" s="6" t="s">
        <v>780</v>
      </c>
      <c r="S9" s="9"/>
    </row>
    <row r="10" customFormat="false" ht="15" hidden="false" customHeight="false" outlineLevel="0" collapsed="false">
      <c r="A10" s="6" t="s">
        <v>89</v>
      </c>
      <c r="B10" s="6" t="s">
        <v>836</v>
      </c>
      <c r="C10" s="6" t="s">
        <v>770</v>
      </c>
      <c r="D10" s="6" t="s">
        <v>837</v>
      </c>
      <c r="E10" s="6" t="s">
        <v>838</v>
      </c>
      <c r="F10" s="6" t="s">
        <v>682</v>
      </c>
      <c r="G10" s="6" t="s">
        <v>839</v>
      </c>
      <c r="H10" s="6" t="s">
        <v>840</v>
      </c>
      <c r="I10" s="6" t="s">
        <v>775</v>
      </c>
      <c r="J10" s="6" t="s">
        <v>841</v>
      </c>
      <c r="K10" s="6" t="s">
        <v>842</v>
      </c>
      <c r="L10" s="6" t="s">
        <v>843</v>
      </c>
      <c r="M10" s="6" t="n">
        <v>13</v>
      </c>
      <c r="N10" s="6" t="n">
        <v>71</v>
      </c>
      <c r="O10" s="14" t="n">
        <v>4.8</v>
      </c>
      <c r="P10" s="6" t="s">
        <v>466</v>
      </c>
      <c r="Q10" s="6" t="s">
        <v>844</v>
      </c>
      <c r="R10" s="6" t="s">
        <v>767</v>
      </c>
      <c r="S10" s="9"/>
    </row>
    <row r="11" customFormat="false" ht="15" hidden="false" customHeight="false" outlineLevel="0" collapsed="false">
      <c r="A11" s="6" t="s">
        <v>170</v>
      </c>
      <c r="B11" s="6" t="s">
        <v>845</v>
      </c>
      <c r="C11" s="6" t="s">
        <v>783</v>
      </c>
      <c r="D11" s="6" t="s">
        <v>846</v>
      </c>
      <c r="E11" s="6" t="s">
        <v>847</v>
      </c>
      <c r="F11" s="6" t="s">
        <v>623</v>
      </c>
      <c r="G11" s="6" t="s">
        <v>848</v>
      </c>
      <c r="H11" s="6" t="s">
        <v>849</v>
      </c>
      <c r="I11" s="6" t="s">
        <v>850</v>
      </c>
      <c r="J11" s="6" t="s">
        <v>851</v>
      </c>
      <c r="K11" s="6" t="s">
        <v>852</v>
      </c>
      <c r="L11" s="6" t="s">
        <v>853</v>
      </c>
      <c r="M11" s="6" t="n">
        <v>7</v>
      </c>
      <c r="N11" s="6" t="n">
        <v>30</v>
      </c>
      <c r="O11" s="14" t="n">
        <v>4.7</v>
      </c>
      <c r="P11" s="6" t="s">
        <v>473</v>
      </c>
      <c r="Q11" s="6" t="s">
        <v>854</v>
      </c>
      <c r="R11" s="6" t="s">
        <v>780</v>
      </c>
      <c r="S11" s="9"/>
    </row>
    <row r="12" customFormat="false" ht="23.85" hidden="false" customHeight="false" outlineLevel="0" collapsed="false">
      <c r="A12" s="6" t="s">
        <v>81</v>
      </c>
      <c r="B12" s="6" t="s">
        <v>855</v>
      </c>
      <c r="C12" s="6" t="s">
        <v>758</v>
      </c>
      <c r="D12" s="6" t="s">
        <v>759</v>
      </c>
      <c r="E12" s="6" t="s">
        <v>83</v>
      </c>
      <c r="F12" s="6" t="s">
        <v>682</v>
      </c>
      <c r="G12" s="6" t="s">
        <v>856</v>
      </c>
      <c r="H12" s="6" t="s">
        <v>857</v>
      </c>
      <c r="I12" s="6" t="s">
        <v>809</v>
      </c>
      <c r="J12" s="6" t="s">
        <v>858</v>
      </c>
      <c r="K12" s="6" t="s">
        <v>859</v>
      </c>
      <c r="L12" s="6" t="s">
        <v>860</v>
      </c>
      <c r="M12" s="6" t="n">
        <v>12</v>
      </c>
      <c r="N12" s="6" t="n">
        <v>47</v>
      </c>
      <c r="O12" s="14" t="n">
        <v>4.8</v>
      </c>
      <c r="P12" s="6" t="s">
        <v>444</v>
      </c>
      <c r="Q12" s="6" t="s">
        <v>861</v>
      </c>
      <c r="R12" s="6" t="s">
        <v>767</v>
      </c>
      <c r="S12" s="9"/>
    </row>
    <row r="13" customFormat="false" ht="15" hidden="false" customHeight="false" outlineLevel="0" collapsed="false">
      <c r="A13" s="6" t="s">
        <v>452</v>
      </c>
      <c r="B13" s="6" t="s">
        <v>862</v>
      </c>
      <c r="C13" s="6" t="s">
        <v>813</v>
      </c>
      <c r="D13" s="6" t="s">
        <v>863</v>
      </c>
      <c r="E13" s="6" t="s">
        <v>83</v>
      </c>
      <c r="F13" s="6" t="s">
        <v>573</v>
      </c>
      <c r="G13" s="6" t="s">
        <v>864</v>
      </c>
      <c r="H13" s="6" t="s">
        <v>865</v>
      </c>
      <c r="I13" s="6" t="s">
        <v>775</v>
      </c>
      <c r="J13" s="6" t="s">
        <v>774</v>
      </c>
      <c r="K13" s="6" t="s">
        <v>775</v>
      </c>
      <c r="L13" s="6" t="s">
        <v>866</v>
      </c>
      <c r="M13" s="6" t="n">
        <v>6</v>
      </c>
      <c r="N13" s="6" t="n">
        <v>20</v>
      </c>
      <c r="O13" s="14" t="n">
        <v>4.6</v>
      </c>
      <c r="P13" s="6" t="s">
        <v>451</v>
      </c>
      <c r="Q13" s="6" t="s">
        <v>867</v>
      </c>
      <c r="R13" s="6" t="s">
        <v>780</v>
      </c>
      <c r="S13" s="9"/>
    </row>
    <row r="14" customFormat="false" ht="23.85" hidden="false" customHeight="false" outlineLevel="0" collapsed="false">
      <c r="A14" s="6" t="s">
        <v>460</v>
      </c>
      <c r="B14" s="6" t="s">
        <v>868</v>
      </c>
      <c r="C14" s="6" t="s">
        <v>793</v>
      </c>
      <c r="D14" s="6" t="s">
        <v>869</v>
      </c>
      <c r="E14" s="6" t="s">
        <v>83</v>
      </c>
      <c r="F14" s="6" t="s">
        <v>582</v>
      </c>
      <c r="G14" s="6" t="s">
        <v>870</v>
      </c>
      <c r="H14" s="6" t="s">
        <v>871</v>
      </c>
      <c r="I14" s="6" t="s">
        <v>764</v>
      </c>
      <c r="J14" s="6" t="s">
        <v>872</v>
      </c>
      <c r="K14" s="6" t="s">
        <v>873</v>
      </c>
      <c r="L14" s="6" t="s">
        <v>874</v>
      </c>
      <c r="M14" s="6" t="n">
        <v>9</v>
      </c>
      <c r="N14" s="6" t="n">
        <v>36</v>
      </c>
      <c r="O14" s="14" t="n">
        <v>4.9</v>
      </c>
      <c r="P14" s="6" t="s">
        <v>459</v>
      </c>
      <c r="Q14" s="6" t="s">
        <v>875</v>
      </c>
      <c r="R14" s="6" t="s">
        <v>780</v>
      </c>
      <c r="S14" s="9"/>
    </row>
    <row r="15" customFormat="false" ht="15" hidden="false" customHeight="false" outlineLevel="0" collapsed="false">
      <c r="A15" s="6" t="s">
        <v>479</v>
      </c>
      <c r="B15" s="6" t="s">
        <v>876</v>
      </c>
      <c r="C15" s="6" t="s">
        <v>793</v>
      </c>
      <c r="D15" s="6" t="s">
        <v>877</v>
      </c>
      <c r="E15" s="6" t="s">
        <v>878</v>
      </c>
      <c r="F15" s="6" t="s">
        <v>582</v>
      </c>
      <c r="G15" s="6" t="s">
        <v>879</v>
      </c>
      <c r="H15" s="6" t="s">
        <v>880</v>
      </c>
      <c r="I15" s="6" t="s">
        <v>881</v>
      </c>
      <c r="J15" s="6" t="s">
        <v>882</v>
      </c>
      <c r="K15" s="6" t="s">
        <v>764</v>
      </c>
      <c r="L15" s="6" t="s">
        <v>883</v>
      </c>
      <c r="M15" s="6" t="n">
        <v>9</v>
      </c>
      <c r="N15" s="6" t="n">
        <v>34</v>
      </c>
      <c r="O15" s="14" t="n">
        <v>4.8</v>
      </c>
      <c r="P15" s="6" t="s">
        <v>478</v>
      </c>
      <c r="Q15" s="6" t="s">
        <v>884</v>
      </c>
      <c r="R15" s="6" t="s">
        <v>780</v>
      </c>
      <c r="S15" s="9"/>
    </row>
    <row r="16" customFormat="false" ht="15" hidden="false" customHeight="false" outlineLevel="0" collapsed="false">
      <c r="A16" s="6" t="s">
        <v>885</v>
      </c>
      <c r="B16" s="6" t="s">
        <v>886</v>
      </c>
      <c r="C16" s="6" t="s">
        <v>813</v>
      </c>
      <c r="D16" s="6" t="s">
        <v>887</v>
      </c>
      <c r="E16" s="6" t="s">
        <v>888</v>
      </c>
      <c r="F16" s="6" t="s">
        <v>594</v>
      </c>
      <c r="G16" s="6" t="s">
        <v>889</v>
      </c>
      <c r="H16" s="6" t="s">
        <v>890</v>
      </c>
      <c r="I16" s="6" t="s">
        <v>891</v>
      </c>
      <c r="J16" s="6" t="s">
        <v>892</v>
      </c>
      <c r="K16" s="6" t="s">
        <v>789</v>
      </c>
      <c r="L16" s="6" t="s">
        <v>893</v>
      </c>
      <c r="M16" s="6" t="n">
        <v>6</v>
      </c>
      <c r="N16" s="6" t="n">
        <v>14</v>
      </c>
      <c r="O16" s="14" t="n">
        <v>4.5</v>
      </c>
      <c r="P16" s="6" t="s">
        <v>455</v>
      </c>
      <c r="Q16" s="6" t="s">
        <v>894</v>
      </c>
      <c r="R16" s="6" t="s">
        <v>780</v>
      </c>
      <c r="S16" s="9"/>
    </row>
    <row r="17" customFormat="false" ht="15" hidden="false" customHeight="false" outlineLevel="0" collapsed="false">
      <c r="A17" s="6" t="s">
        <v>114</v>
      </c>
      <c r="B17" s="6" t="s">
        <v>895</v>
      </c>
      <c r="C17" s="6" t="s">
        <v>804</v>
      </c>
      <c r="D17" s="6" t="s">
        <v>794</v>
      </c>
      <c r="E17" s="6" t="s">
        <v>795</v>
      </c>
      <c r="F17" s="6" t="s">
        <v>682</v>
      </c>
      <c r="G17" s="6" t="s">
        <v>896</v>
      </c>
      <c r="H17" s="6" t="s">
        <v>897</v>
      </c>
      <c r="I17" s="6" t="s">
        <v>898</v>
      </c>
      <c r="J17" s="6" t="s">
        <v>899</v>
      </c>
      <c r="K17" s="6" t="s">
        <v>900</v>
      </c>
      <c r="L17" s="6" t="s">
        <v>901</v>
      </c>
      <c r="M17" s="6" t="n">
        <v>10</v>
      </c>
      <c r="N17" s="6" t="n">
        <v>26</v>
      </c>
      <c r="O17" s="14" t="n">
        <v>4.9</v>
      </c>
      <c r="P17" s="6" t="s">
        <v>494</v>
      </c>
      <c r="Q17" s="6" t="s">
        <v>902</v>
      </c>
      <c r="R17" s="6" t="s">
        <v>767</v>
      </c>
      <c r="S17" s="9"/>
    </row>
    <row r="18" customFormat="false" ht="15" hidden="false" customHeight="false" outlineLevel="0" collapsed="false">
      <c r="A18" s="6" t="s">
        <v>105</v>
      </c>
      <c r="B18" s="6" t="s">
        <v>903</v>
      </c>
      <c r="C18" s="6" t="s">
        <v>770</v>
      </c>
      <c r="D18" s="6" t="s">
        <v>904</v>
      </c>
      <c r="E18" s="6" t="s">
        <v>905</v>
      </c>
      <c r="F18" s="6" t="s">
        <v>579</v>
      </c>
      <c r="G18" s="6" t="s">
        <v>906</v>
      </c>
      <c r="H18" s="6" t="s">
        <v>907</v>
      </c>
      <c r="I18" s="6" t="s">
        <v>807</v>
      </c>
      <c r="J18" s="6" t="s">
        <v>908</v>
      </c>
      <c r="K18" s="6" t="s">
        <v>789</v>
      </c>
      <c r="L18" s="6" t="s">
        <v>843</v>
      </c>
      <c r="M18" s="6" t="n">
        <v>3</v>
      </c>
      <c r="N18" s="6" t="n">
        <v>8</v>
      </c>
      <c r="O18" s="14" t="n">
        <v>4.9</v>
      </c>
      <c r="P18" s="6" t="s">
        <v>506</v>
      </c>
      <c r="Q18" s="6" t="s">
        <v>909</v>
      </c>
      <c r="R18" s="6" t="s">
        <v>73</v>
      </c>
      <c r="S18" s="9"/>
    </row>
    <row r="19" customFormat="false" ht="15" hidden="false" customHeight="false" outlineLevel="0" collapsed="false">
      <c r="A19" s="6" t="s">
        <v>71</v>
      </c>
      <c r="B19" s="6" t="s">
        <v>910</v>
      </c>
      <c r="C19" s="6" t="s">
        <v>783</v>
      </c>
      <c r="D19" s="6" t="s">
        <v>911</v>
      </c>
      <c r="E19" s="6" t="s">
        <v>878</v>
      </c>
      <c r="F19" s="6" t="s">
        <v>582</v>
      </c>
      <c r="G19" s="6" t="s">
        <v>912</v>
      </c>
      <c r="H19" s="6" t="s">
        <v>913</v>
      </c>
      <c r="I19" s="6" t="s">
        <v>807</v>
      </c>
      <c r="J19" s="6" t="s">
        <v>914</v>
      </c>
      <c r="K19" s="6" t="s">
        <v>915</v>
      </c>
      <c r="L19" s="6" t="s">
        <v>916</v>
      </c>
      <c r="M19" s="6" t="n">
        <v>5</v>
      </c>
      <c r="N19" s="6" t="n">
        <v>15</v>
      </c>
      <c r="O19" s="14" t="n">
        <v>4.8</v>
      </c>
      <c r="P19" s="6" t="s">
        <v>500</v>
      </c>
      <c r="Q19" s="6" t="s">
        <v>917</v>
      </c>
      <c r="R19" s="6" t="s">
        <v>780</v>
      </c>
      <c r="S19" s="9"/>
    </row>
    <row r="20" customFormat="false" ht="15" hidden="false" customHeight="false" outlineLevel="0" collapsed="false">
      <c r="A20" s="6" t="s">
        <v>183</v>
      </c>
      <c r="B20" s="6" t="s">
        <v>918</v>
      </c>
      <c r="C20" s="6" t="s">
        <v>793</v>
      </c>
      <c r="D20" s="6" t="s">
        <v>919</v>
      </c>
      <c r="E20" s="6" t="s">
        <v>83</v>
      </c>
      <c r="F20" s="6" t="s">
        <v>635</v>
      </c>
      <c r="G20" s="6" t="s">
        <v>920</v>
      </c>
      <c r="H20" s="6" t="s">
        <v>921</v>
      </c>
      <c r="I20" s="6" t="s">
        <v>922</v>
      </c>
      <c r="J20" s="6" t="s">
        <v>923</v>
      </c>
      <c r="K20" s="6" t="s">
        <v>924</v>
      </c>
      <c r="L20" s="6" t="s">
        <v>925</v>
      </c>
      <c r="M20" s="6" t="n">
        <v>7</v>
      </c>
      <c r="N20" s="6" t="n">
        <v>24</v>
      </c>
      <c r="O20" s="14" t="n">
        <v>4.7</v>
      </c>
      <c r="P20" s="6" t="s">
        <v>519</v>
      </c>
      <c r="Q20" s="6" t="s">
        <v>926</v>
      </c>
      <c r="R20" s="6" t="s">
        <v>780</v>
      </c>
      <c r="S20" s="9"/>
    </row>
    <row r="21" customFormat="false" ht="23.85" hidden="false" customHeight="false" outlineLevel="0" collapsed="false">
      <c r="A21" s="6" t="s">
        <v>146</v>
      </c>
      <c r="B21" s="6" t="s">
        <v>927</v>
      </c>
      <c r="C21" s="6" t="s">
        <v>758</v>
      </c>
      <c r="D21" s="6" t="s">
        <v>928</v>
      </c>
      <c r="E21" s="6" t="s">
        <v>83</v>
      </c>
      <c r="F21" s="6" t="s">
        <v>579</v>
      </c>
      <c r="G21" s="6" t="s">
        <v>929</v>
      </c>
      <c r="H21" s="6" t="s">
        <v>930</v>
      </c>
      <c r="I21" s="6" t="s">
        <v>931</v>
      </c>
      <c r="J21" s="6" t="s">
        <v>932</v>
      </c>
      <c r="K21" s="6" t="s">
        <v>789</v>
      </c>
      <c r="L21" s="6" t="s">
        <v>933</v>
      </c>
      <c r="M21" s="6" t="n">
        <v>8</v>
      </c>
      <c r="N21" s="6" t="n">
        <v>31</v>
      </c>
      <c r="O21" s="14" t="n">
        <v>4.9</v>
      </c>
      <c r="P21" s="6" t="s">
        <v>545</v>
      </c>
      <c r="Q21" s="6" t="s">
        <v>934</v>
      </c>
      <c r="R21" s="6" t="s">
        <v>780</v>
      </c>
      <c r="S21" s="9"/>
    </row>
    <row r="22" customFormat="false" ht="15" hidden="false" customHeight="false" outlineLevel="0" collapsed="false">
      <c r="A22" s="6" t="s">
        <v>935</v>
      </c>
      <c r="B22" s="6" t="s">
        <v>936</v>
      </c>
      <c r="C22" s="6" t="s">
        <v>804</v>
      </c>
      <c r="D22" s="6" t="s">
        <v>937</v>
      </c>
      <c r="E22" s="6" t="s">
        <v>83</v>
      </c>
      <c r="F22" s="6" t="s">
        <v>582</v>
      </c>
      <c r="G22" s="6" t="s">
        <v>938</v>
      </c>
      <c r="H22" s="6" t="s">
        <v>939</v>
      </c>
      <c r="I22" s="6" t="s">
        <v>940</v>
      </c>
      <c r="J22" s="6" t="s">
        <v>941</v>
      </c>
      <c r="K22" s="6" t="s">
        <v>942</v>
      </c>
      <c r="L22" s="6" t="s">
        <v>943</v>
      </c>
      <c r="M22" s="6" t="n">
        <v>5</v>
      </c>
      <c r="N22" s="6" t="n">
        <v>19</v>
      </c>
      <c r="O22" s="14" t="n">
        <v>4.7</v>
      </c>
      <c r="P22" s="6" t="s">
        <v>532</v>
      </c>
      <c r="Q22" s="6" t="s">
        <v>944</v>
      </c>
      <c r="R22" s="6" t="s">
        <v>780</v>
      </c>
      <c r="S22" s="9"/>
    </row>
    <row r="23" customFormat="false" ht="15" hidden="false" customHeight="false" outlineLevel="0" collapsed="false">
      <c r="A23" s="6" t="s">
        <v>945</v>
      </c>
      <c r="B23" s="6" t="s">
        <v>946</v>
      </c>
      <c r="C23" s="6" t="s">
        <v>813</v>
      </c>
      <c r="D23" s="6" t="s">
        <v>759</v>
      </c>
      <c r="E23" s="6" t="s">
        <v>83</v>
      </c>
      <c r="F23" s="6" t="s">
        <v>635</v>
      </c>
      <c r="G23" s="6" t="s">
        <v>947</v>
      </c>
      <c r="H23" s="6" t="s">
        <v>948</v>
      </c>
      <c r="I23" s="6" t="s">
        <v>949</v>
      </c>
      <c r="J23" s="6" t="s">
        <v>455</v>
      </c>
      <c r="K23" s="6"/>
      <c r="L23" s="6" t="s">
        <v>950</v>
      </c>
      <c r="M23" s="6" t="n">
        <v>2</v>
      </c>
      <c r="N23" s="6" t="n">
        <v>6</v>
      </c>
      <c r="O23" s="14" t="n">
        <v>4.6</v>
      </c>
      <c r="P23" s="6" t="s">
        <v>539</v>
      </c>
      <c r="Q23" s="6" t="s">
        <v>951</v>
      </c>
      <c r="R23" s="6" t="s">
        <v>73</v>
      </c>
      <c r="S23" s="9"/>
    </row>
    <row r="24" customFormat="false" ht="15" hidden="false" customHeight="false" outlineLevel="0" collapsed="false">
      <c r="A24" s="6" t="s">
        <v>513</v>
      </c>
      <c r="B24" s="6" t="s">
        <v>952</v>
      </c>
      <c r="C24" s="6" t="s">
        <v>770</v>
      </c>
      <c r="D24" s="6" t="s">
        <v>869</v>
      </c>
      <c r="E24" s="6" t="s">
        <v>83</v>
      </c>
      <c r="F24" s="6" t="s">
        <v>573</v>
      </c>
      <c r="G24" s="6" t="s">
        <v>953</v>
      </c>
      <c r="H24" s="6" t="s">
        <v>954</v>
      </c>
      <c r="I24" s="6" t="s">
        <v>775</v>
      </c>
      <c r="J24" s="6" t="s">
        <v>774</v>
      </c>
      <c r="K24" s="6" t="s">
        <v>775</v>
      </c>
      <c r="L24" s="6" t="s">
        <v>955</v>
      </c>
      <c r="M24" s="6" t="n">
        <v>9</v>
      </c>
      <c r="N24" s="6" t="n">
        <v>40</v>
      </c>
      <c r="O24" s="14" t="n">
        <v>4.8</v>
      </c>
      <c r="P24" s="6" t="s">
        <v>512</v>
      </c>
      <c r="Q24" s="6" t="s">
        <v>956</v>
      </c>
      <c r="R24" s="6" t="s">
        <v>780</v>
      </c>
      <c r="S24" s="9"/>
    </row>
    <row r="25" customFormat="false" ht="15" hidden="false" customHeight="false" outlineLevel="0" collapsed="false">
      <c r="A25" s="6" t="s">
        <v>131</v>
      </c>
      <c r="B25" s="6" t="s">
        <v>957</v>
      </c>
      <c r="C25" s="6" t="s">
        <v>783</v>
      </c>
      <c r="D25" s="6" t="s">
        <v>958</v>
      </c>
      <c r="E25" s="6" t="s">
        <v>83</v>
      </c>
      <c r="F25" s="6" t="s">
        <v>597</v>
      </c>
      <c r="G25" s="6" t="s">
        <v>959</v>
      </c>
      <c r="H25" s="6" t="s">
        <v>960</v>
      </c>
      <c r="I25" s="6" t="s">
        <v>787</v>
      </c>
      <c r="J25" s="6" t="s">
        <v>961</v>
      </c>
      <c r="K25" s="6" t="s">
        <v>962</v>
      </c>
      <c r="L25" s="6" t="s">
        <v>963</v>
      </c>
      <c r="M25" s="6" t="n">
        <v>8</v>
      </c>
      <c r="N25" s="6" t="n">
        <v>29</v>
      </c>
      <c r="O25" s="14" t="n">
        <v>4.8</v>
      </c>
      <c r="P25" s="6" t="s">
        <v>532</v>
      </c>
      <c r="Q25" s="6" t="s">
        <v>964</v>
      </c>
      <c r="R25" s="6" t="s">
        <v>780</v>
      </c>
      <c r="S25" s="9"/>
    </row>
    <row r="26" customFormat="false" ht="15" hidden="false" customHeight="false" outlineLevel="0" collapsed="false">
      <c r="A26" s="6" t="s">
        <v>139</v>
      </c>
      <c r="B26" s="6" t="s">
        <v>965</v>
      </c>
      <c r="C26" s="6" t="s">
        <v>813</v>
      </c>
      <c r="D26" s="6" t="s">
        <v>759</v>
      </c>
      <c r="E26" s="6" t="s">
        <v>83</v>
      </c>
      <c r="F26" s="6" t="s">
        <v>623</v>
      </c>
      <c r="G26" s="6" t="s">
        <v>966</v>
      </c>
      <c r="H26" s="6" t="s">
        <v>967</v>
      </c>
      <c r="I26" s="6" t="s">
        <v>833</v>
      </c>
      <c r="J26" s="6" t="s">
        <v>968</v>
      </c>
      <c r="K26" s="6" t="s">
        <v>789</v>
      </c>
      <c r="L26" s="6" t="s">
        <v>969</v>
      </c>
      <c r="M26" s="6" t="n">
        <v>7</v>
      </c>
      <c r="N26" s="6" t="n">
        <v>21</v>
      </c>
      <c r="O26" s="14" t="n">
        <v>4.7</v>
      </c>
      <c r="P26" s="6" t="s">
        <v>539</v>
      </c>
      <c r="Q26" s="6" t="s">
        <v>970</v>
      </c>
      <c r="R26" s="6" t="s">
        <v>780</v>
      </c>
      <c r="S26" s="9"/>
    </row>
    <row r="27" customFormat="false" ht="15" hidden="false" customHeight="false" outlineLevel="0" collapsed="false">
      <c r="A27" s="6" t="s">
        <v>123</v>
      </c>
      <c r="B27" s="6" t="s">
        <v>971</v>
      </c>
      <c r="C27" s="6" t="s">
        <v>793</v>
      </c>
      <c r="D27" s="6" t="s">
        <v>972</v>
      </c>
      <c r="E27" s="6" t="s">
        <v>83</v>
      </c>
      <c r="F27" s="6" t="s">
        <v>682</v>
      </c>
      <c r="G27" s="6" t="s">
        <v>973</v>
      </c>
      <c r="H27" s="6" t="s">
        <v>974</v>
      </c>
      <c r="I27" s="6" t="s">
        <v>777</v>
      </c>
      <c r="J27" s="6" t="s">
        <v>975</v>
      </c>
      <c r="K27" s="6" t="s">
        <v>799</v>
      </c>
      <c r="L27" s="6" t="s">
        <v>976</v>
      </c>
      <c r="M27" s="6" t="n">
        <v>11</v>
      </c>
      <c r="N27" s="6" t="n">
        <v>52</v>
      </c>
      <c r="O27" s="14" t="n">
        <v>4.9</v>
      </c>
      <c r="P27" s="6" t="s">
        <v>519</v>
      </c>
      <c r="Q27" s="6" t="s">
        <v>977</v>
      </c>
      <c r="R27" s="6" t="s">
        <v>767</v>
      </c>
      <c r="S27" s="9"/>
    </row>
    <row r="28" customFormat="false" ht="15" hidden="false" customHeight="false" outlineLevel="0" collapsed="false">
      <c r="A28" s="6" t="s">
        <v>526</v>
      </c>
      <c r="B28" s="6" t="s">
        <v>978</v>
      </c>
      <c r="C28" s="6" t="s">
        <v>758</v>
      </c>
      <c r="D28" s="6" t="s">
        <v>979</v>
      </c>
      <c r="E28" s="6" t="s">
        <v>83</v>
      </c>
      <c r="F28" s="6" t="s">
        <v>623</v>
      </c>
      <c r="G28" s="6" t="s">
        <v>980</v>
      </c>
      <c r="H28" s="6" t="s">
        <v>981</v>
      </c>
      <c r="I28" s="6" t="s">
        <v>789</v>
      </c>
      <c r="J28" s="6" t="s">
        <v>529</v>
      </c>
      <c r="K28" s="6" t="s">
        <v>982</v>
      </c>
      <c r="L28" s="6" t="s">
        <v>983</v>
      </c>
      <c r="M28" s="6" t="n">
        <v>4</v>
      </c>
      <c r="N28" s="6" t="n">
        <v>11</v>
      </c>
      <c r="O28" s="14" t="n">
        <v>4.5</v>
      </c>
      <c r="P28" s="6" t="s">
        <v>525</v>
      </c>
      <c r="Q28" s="6" t="s">
        <v>984</v>
      </c>
      <c r="R28" s="6" t="s">
        <v>73</v>
      </c>
      <c r="S28" s="9"/>
    </row>
    <row r="29" customFormat="false" ht="15" hidden="false" customHeight="false" outlineLevel="0" collapsed="false">
      <c r="A29" s="6" t="s">
        <v>154</v>
      </c>
      <c r="B29" s="6" t="s">
        <v>985</v>
      </c>
      <c r="C29" s="6" t="s">
        <v>793</v>
      </c>
      <c r="D29" s="6" t="s">
        <v>794</v>
      </c>
      <c r="E29" s="6" t="s">
        <v>795</v>
      </c>
      <c r="F29" s="6" t="s">
        <v>573</v>
      </c>
      <c r="G29" s="6" t="s">
        <v>986</v>
      </c>
      <c r="H29" s="6" t="s">
        <v>987</v>
      </c>
      <c r="I29" s="6" t="s">
        <v>775</v>
      </c>
      <c r="J29" s="6" t="s">
        <v>374</v>
      </c>
      <c r="K29" s="6" t="s">
        <v>789</v>
      </c>
      <c r="L29" s="6" t="s">
        <v>988</v>
      </c>
      <c r="M29" s="6" t="n">
        <v>4</v>
      </c>
      <c r="N29" s="6" t="n">
        <v>9</v>
      </c>
      <c r="O29" s="14" t="n">
        <v>4.6</v>
      </c>
      <c r="P29" s="6" t="s">
        <v>552</v>
      </c>
      <c r="Q29" s="6" t="s">
        <v>989</v>
      </c>
      <c r="R29" s="6" t="s">
        <v>73</v>
      </c>
      <c r="S29" s="9"/>
    </row>
    <row r="30" customFormat="false" ht="15" hidden="false" customHeight="false" outlineLevel="0" collapsed="false">
      <c r="A30" s="6" t="s">
        <v>191</v>
      </c>
      <c r="B30" s="6" t="s">
        <v>990</v>
      </c>
      <c r="C30" s="6" t="s">
        <v>770</v>
      </c>
      <c r="D30" s="6" t="s">
        <v>991</v>
      </c>
      <c r="E30" s="6" t="s">
        <v>992</v>
      </c>
      <c r="F30" s="6" t="s">
        <v>594</v>
      </c>
      <c r="G30" s="6" t="s">
        <v>993</v>
      </c>
      <c r="H30" s="6" t="s">
        <v>890</v>
      </c>
      <c r="I30" s="6" t="s">
        <v>994</v>
      </c>
      <c r="J30" s="6" t="s">
        <v>995</v>
      </c>
      <c r="K30" s="6" t="s">
        <v>807</v>
      </c>
      <c r="L30" s="6" t="s">
        <v>996</v>
      </c>
      <c r="M30" s="6" t="n">
        <v>9</v>
      </c>
      <c r="N30" s="6" t="n">
        <v>30</v>
      </c>
      <c r="O30" s="14" t="n">
        <v>4.9</v>
      </c>
      <c r="P30" s="6" t="s">
        <v>455</v>
      </c>
      <c r="Q30" s="6" t="s">
        <v>997</v>
      </c>
      <c r="R30" s="6" t="s">
        <v>780</v>
      </c>
      <c r="S30" s="9"/>
    </row>
    <row r="31" customFormat="false" ht="15" hidden="false" customHeight="false" outlineLevel="0" collapsed="false">
      <c r="A31" s="6" t="s">
        <v>162</v>
      </c>
      <c r="B31" s="6" t="s">
        <v>998</v>
      </c>
      <c r="C31" s="6" t="s">
        <v>758</v>
      </c>
      <c r="D31" s="6" t="s">
        <v>999</v>
      </c>
      <c r="E31" s="6" t="s">
        <v>905</v>
      </c>
      <c r="F31" s="6" t="s">
        <v>597</v>
      </c>
      <c r="G31" s="6" t="s">
        <v>1000</v>
      </c>
      <c r="H31" s="6" t="s">
        <v>1001</v>
      </c>
      <c r="I31" s="6" t="s">
        <v>1002</v>
      </c>
      <c r="J31" s="6" t="s">
        <v>1003</v>
      </c>
      <c r="K31" s="6" t="s">
        <v>789</v>
      </c>
      <c r="L31" s="6" t="s">
        <v>843</v>
      </c>
      <c r="M31" s="6" t="n">
        <v>4</v>
      </c>
      <c r="N31" s="6" t="n">
        <v>13</v>
      </c>
      <c r="O31" s="14" t="n">
        <v>4.6</v>
      </c>
      <c r="P31" s="6" t="s">
        <v>559</v>
      </c>
      <c r="Q31" s="6" t="s">
        <v>1004</v>
      </c>
      <c r="R31" s="6" t="s">
        <v>73</v>
      </c>
      <c r="S31" s="9"/>
    </row>
  </sheetData>
  <autoFilter ref="A1:S31"/>
  <dataValidations count="3">
    <dataValidation allowBlank="true" errorStyle="stop" operator="between" showDropDown="false" showErrorMessage="false" showInputMessage="false" sqref="C2:C500" type="list">
      <formula1>"blob,cube,cone,star,drop,pill"</formula1>
      <formula2>0</formula2>
    </dataValidation>
    <dataValidation allowBlank="true" errorStyle="stop" operator="between" showDropDown="false" showErrorMessage="false" showInputMessage="false" sqref="F2:F500" type="list">
      <formula1>"Leader,Planner,Expert,Maker,Checker,Storyteller,Patron,User"</formula1>
      <formula2>0</formula2>
    </dataValidation>
    <dataValidation allowBlank="true" errorStyle="stop" operator="between" showDropDown="false" showErrorMessage="false" showInputMessage="false" sqref="R2:R500" type="list">
      <formula1>"Star,Regular,New"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4" min="4" style="0" width="56"/>
    <col collapsed="false" customWidth="true" hidden="false" outlineLevel="0" max="5" min="5" style="0" width="38"/>
    <col collapsed="false" customWidth="true" hidden="false" outlineLevel="0" max="6" min="6" style="0" width="12"/>
    <col collapsed="false" customWidth="true" hidden="false" outlineLevel="0" max="7" min="7" style="0" width="34"/>
  </cols>
  <sheetData>
    <row r="1" customFormat="false" ht="30" hidden="false" customHeight="true" outlineLevel="0" collapsed="false">
      <c r="A1" s="5" t="s">
        <v>1005</v>
      </c>
      <c r="B1" s="5" t="s">
        <v>1006</v>
      </c>
      <c r="C1" s="5" t="s">
        <v>1007</v>
      </c>
      <c r="D1" s="5" t="s">
        <v>1008</v>
      </c>
      <c r="E1" s="5" t="s">
        <v>1009</v>
      </c>
      <c r="F1" s="5" t="s">
        <v>39</v>
      </c>
      <c r="G1" s="5" t="s">
        <v>54</v>
      </c>
    </row>
    <row r="2" customFormat="false" ht="15" hidden="false" customHeight="false" outlineLevel="0" collapsed="false">
      <c r="A2" s="6" t="s">
        <v>1010</v>
      </c>
      <c r="B2" s="6" t="s">
        <v>1011</v>
      </c>
      <c r="C2" s="6" t="s">
        <v>1012</v>
      </c>
      <c r="D2" s="6" t="s">
        <v>1013</v>
      </c>
      <c r="E2" s="6" t="s">
        <v>1014</v>
      </c>
      <c r="F2" s="6" t="s">
        <v>55</v>
      </c>
      <c r="G2" s="9"/>
    </row>
    <row r="3" customFormat="false" ht="15" hidden="false" customHeight="false" outlineLevel="0" collapsed="false">
      <c r="A3" s="6" t="s">
        <v>1015</v>
      </c>
      <c r="B3" s="6" t="s">
        <v>1011</v>
      </c>
      <c r="C3" s="6" t="s">
        <v>1016</v>
      </c>
      <c r="D3" s="6" t="s">
        <v>1017</v>
      </c>
      <c r="E3" s="6" t="s">
        <v>1018</v>
      </c>
      <c r="F3" s="6" t="s">
        <v>55</v>
      </c>
      <c r="G3" s="9"/>
    </row>
    <row r="4" customFormat="false" ht="15" hidden="false" customHeight="false" outlineLevel="0" collapsed="false">
      <c r="A4" s="6" t="s">
        <v>1010</v>
      </c>
      <c r="B4" s="6" t="s">
        <v>1011</v>
      </c>
      <c r="C4" s="6" t="s">
        <v>1012</v>
      </c>
      <c r="D4" s="6" t="s">
        <v>1019</v>
      </c>
      <c r="E4" s="6" t="s">
        <v>1020</v>
      </c>
      <c r="F4" s="6" t="s">
        <v>134</v>
      </c>
      <c r="G4" s="9"/>
    </row>
    <row r="5" customFormat="false" ht="15" hidden="false" customHeight="false" outlineLevel="0" collapsed="false">
      <c r="A5" s="6" t="s">
        <v>1021</v>
      </c>
      <c r="B5" s="6" t="s">
        <v>1011</v>
      </c>
      <c r="C5" s="6" t="s">
        <v>1016</v>
      </c>
      <c r="D5" s="6" t="s">
        <v>1022</v>
      </c>
      <c r="E5" s="6" t="s">
        <v>1023</v>
      </c>
      <c r="F5" s="6" t="s">
        <v>118</v>
      </c>
      <c r="G5" s="9"/>
    </row>
    <row r="6" customFormat="false" ht="23.85" hidden="false" customHeight="false" outlineLevel="0" collapsed="false">
      <c r="A6" s="6" t="s">
        <v>1024</v>
      </c>
      <c r="B6" s="6" t="s">
        <v>1025</v>
      </c>
      <c r="C6" s="6" t="s">
        <v>1026</v>
      </c>
      <c r="D6" s="6" t="s">
        <v>1027</v>
      </c>
      <c r="E6" s="6" t="s">
        <v>1028</v>
      </c>
      <c r="F6" s="6" t="s">
        <v>74</v>
      </c>
      <c r="G6" s="9"/>
    </row>
    <row r="7" customFormat="false" ht="15" hidden="false" customHeight="false" outlineLevel="0" collapsed="false">
      <c r="A7" s="6" t="s">
        <v>1029</v>
      </c>
      <c r="B7" s="6" t="s">
        <v>1011</v>
      </c>
      <c r="C7" s="6" t="s">
        <v>1016</v>
      </c>
      <c r="D7" s="6" t="s">
        <v>1030</v>
      </c>
      <c r="E7" s="6" t="s">
        <v>1031</v>
      </c>
      <c r="F7" s="6" t="s">
        <v>85</v>
      </c>
      <c r="G7" s="9"/>
    </row>
    <row r="8" customFormat="false" ht="15" hidden="false" customHeight="false" outlineLevel="0" collapsed="false">
      <c r="A8" s="6" t="s">
        <v>1032</v>
      </c>
      <c r="B8" s="6" t="s">
        <v>1011</v>
      </c>
      <c r="C8" s="6" t="s">
        <v>1016</v>
      </c>
      <c r="D8" s="6" t="s">
        <v>1033</v>
      </c>
      <c r="E8" s="6" t="s">
        <v>1034</v>
      </c>
      <c r="F8" s="6" t="s">
        <v>108</v>
      </c>
      <c r="G8" s="9"/>
    </row>
    <row r="9" customFormat="false" ht="15" hidden="false" customHeight="false" outlineLevel="0" collapsed="false">
      <c r="A9" s="6" t="s">
        <v>1035</v>
      </c>
      <c r="B9" s="6" t="s">
        <v>1011</v>
      </c>
      <c r="C9" s="6" t="s">
        <v>1036</v>
      </c>
      <c r="D9" s="6" t="s">
        <v>1037</v>
      </c>
      <c r="E9" s="6" t="s">
        <v>1038</v>
      </c>
      <c r="F9" s="6" t="s">
        <v>91</v>
      </c>
      <c r="G9" s="9"/>
    </row>
    <row r="10" customFormat="false" ht="15" hidden="false" customHeight="false" outlineLevel="0" collapsed="false">
      <c r="A10" s="6" t="s">
        <v>1010</v>
      </c>
      <c r="B10" s="6" t="s">
        <v>1011</v>
      </c>
      <c r="C10" s="6" t="s">
        <v>1039</v>
      </c>
      <c r="D10" s="6" t="s">
        <v>1040</v>
      </c>
      <c r="E10" s="6" t="s">
        <v>1041</v>
      </c>
      <c r="F10" s="6" t="s">
        <v>100</v>
      </c>
      <c r="G10" s="9"/>
    </row>
    <row r="11" customFormat="false" ht="15" hidden="false" customHeight="false" outlineLevel="0" collapsed="false">
      <c r="A11" s="6" t="s">
        <v>1042</v>
      </c>
      <c r="B11" s="6" t="s">
        <v>1011</v>
      </c>
      <c r="C11" s="6" t="s">
        <v>1016</v>
      </c>
      <c r="D11" s="6" t="s">
        <v>1043</v>
      </c>
      <c r="E11" s="6" t="s">
        <v>1044</v>
      </c>
      <c r="F11" s="6" t="s">
        <v>126</v>
      </c>
      <c r="G11" s="9"/>
    </row>
    <row r="12" customFormat="false" ht="15" hidden="false" customHeight="false" outlineLevel="0" collapsed="false">
      <c r="A12" s="6" t="s">
        <v>1045</v>
      </c>
      <c r="B12" s="6" t="s">
        <v>1011</v>
      </c>
      <c r="C12" s="6" t="s">
        <v>1016</v>
      </c>
      <c r="D12" s="6" t="s">
        <v>1046</v>
      </c>
      <c r="E12" s="6" t="s">
        <v>1047</v>
      </c>
      <c r="F12" s="6" t="s">
        <v>66</v>
      </c>
      <c r="G12" s="9"/>
    </row>
    <row r="13" customFormat="false" ht="15" hidden="false" customHeight="false" outlineLevel="0" collapsed="false">
      <c r="A13" s="6" t="s">
        <v>1010</v>
      </c>
      <c r="B13" s="6" t="s">
        <v>1011</v>
      </c>
      <c r="C13" s="6" t="s">
        <v>1048</v>
      </c>
      <c r="D13" s="6" t="s">
        <v>1049</v>
      </c>
      <c r="E13" s="6" t="s">
        <v>1050</v>
      </c>
      <c r="F13" s="6" t="s">
        <v>134</v>
      </c>
      <c r="G13" s="9"/>
    </row>
    <row r="14" customFormat="false" ht="15" hidden="false" customHeight="false" outlineLevel="0" collapsed="false">
      <c r="A14" s="6" t="s">
        <v>1011</v>
      </c>
      <c r="B14" s="6" t="s">
        <v>781</v>
      </c>
      <c r="C14" s="6" t="s">
        <v>1016</v>
      </c>
      <c r="D14" s="6" t="s">
        <v>1051</v>
      </c>
      <c r="E14" s="6" t="s">
        <v>1052</v>
      </c>
      <c r="F14" s="6" t="s">
        <v>55</v>
      </c>
      <c r="G14" s="9"/>
    </row>
  </sheetData>
  <autoFilter ref="A1:G1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70"/>
    <col collapsed="false" customWidth="true" hidden="false" outlineLevel="0" max="4" min="4" style="0" width="12"/>
    <col collapsed="false" customWidth="true" hidden="false" outlineLevel="0" max="5" min="5" style="0" width="8"/>
    <col collapsed="false" customWidth="true" hidden="false" outlineLevel="0" max="6" min="6" style="0" width="9"/>
    <col collapsed="false" customWidth="true" hidden="false" outlineLevel="0" max="7" min="7" style="0" width="12"/>
    <col collapsed="false" customWidth="true" hidden="false" outlineLevel="0" max="8" min="8" style="0" width="20"/>
    <col collapsed="false" customWidth="true" hidden="false" outlineLevel="0" max="9" min="9" style="0" width="34"/>
  </cols>
  <sheetData>
    <row r="1" customFormat="false" ht="30" hidden="false" customHeight="true" outlineLevel="0" collapsed="false">
      <c r="A1" s="5" t="s">
        <v>39</v>
      </c>
      <c r="B1" s="5" t="s">
        <v>1053</v>
      </c>
      <c r="C1" s="5" t="s">
        <v>1054</v>
      </c>
      <c r="D1" s="5" t="s">
        <v>1055</v>
      </c>
      <c r="E1" s="5" t="s">
        <v>48</v>
      </c>
      <c r="F1" s="5" t="s">
        <v>49</v>
      </c>
      <c r="G1" s="5" t="s">
        <v>1056</v>
      </c>
      <c r="H1" s="5" t="s">
        <v>1057</v>
      </c>
      <c r="I1" s="5" t="s">
        <v>54</v>
      </c>
    </row>
    <row r="2" customFormat="false" ht="15" hidden="false" customHeight="false" outlineLevel="0" collapsed="false">
      <c r="A2" s="6" t="s">
        <v>165</v>
      </c>
      <c r="B2" s="6" t="s">
        <v>168</v>
      </c>
      <c r="C2" s="6" t="s">
        <v>1058</v>
      </c>
      <c r="D2" s="8" t="n">
        <v>12000</v>
      </c>
      <c r="E2" s="6" t="s">
        <v>61</v>
      </c>
      <c r="F2" s="6" t="n">
        <v>140</v>
      </c>
      <c r="G2" s="6" t="s">
        <v>1059</v>
      </c>
      <c r="H2" s="6" t="s">
        <v>455</v>
      </c>
      <c r="I2" s="9"/>
    </row>
    <row r="3" customFormat="false" ht="15" hidden="false" customHeight="false" outlineLevel="0" collapsed="false">
      <c r="A3" s="6" t="s">
        <v>174</v>
      </c>
      <c r="B3" s="6" t="s">
        <v>168</v>
      </c>
      <c r="C3" s="6" t="s">
        <v>1060</v>
      </c>
      <c r="D3" s="8" t="n">
        <v>15000</v>
      </c>
      <c r="E3" s="6" t="s">
        <v>61</v>
      </c>
      <c r="F3" s="6" t="n">
        <v>85</v>
      </c>
      <c r="G3" s="6" t="s">
        <v>1061</v>
      </c>
      <c r="H3" s="6" t="s">
        <v>1062</v>
      </c>
      <c r="I3" s="9"/>
    </row>
    <row r="4" customFormat="false" ht="15" hidden="false" customHeight="false" outlineLevel="0" collapsed="false">
      <c r="A4" s="6" t="s">
        <v>179</v>
      </c>
      <c r="B4" s="6" t="s">
        <v>168</v>
      </c>
      <c r="C4" s="6" t="s">
        <v>1063</v>
      </c>
      <c r="D4" s="10" t="n">
        <v>400000</v>
      </c>
      <c r="E4" s="6" t="s">
        <v>80</v>
      </c>
      <c r="F4" s="6" t="n">
        <v>160</v>
      </c>
      <c r="G4" s="6" t="s">
        <v>1064</v>
      </c>
      <c r="H4" s="6" t="s">
        <v>455</v>
      </c>
      <c r="I4" s="9"/>
    </row>
    <row r="5" customFormat="false" ht="23.85" hidden="false" customHeight="false" outlineLevel="0" collapsed="false">
      <c r="A5" s="6" t="s">
        <v>186</v>
      </c>
      <c r="B5" s="6" t="s">
        <v>189</v>
      </c>
      <c r="C5" s="6" t="s">
        <v>1065</v>
      </c>
      <c r="D5" s="8" t="n">
        <v>9400</v>
      </c>
      <c r="E5" s="6" t="s">
        <v>61</v>
      </c>
      <c r="F5" s="6" t="n">
        <v>61</v>
      </c>
      <c r="G5" s="6" t="s">
        <v>455</v>
      </c>
      <c r="H5" s="6" t="s">
        <v>455</v>
      </c>
      <c r="I5" s="9"/>
    </row>
  </sheetData>
  <autoFilter ref="A1:I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2026-10-29T17:14:43Z</dcterms:created>
  <dc:creator>openpyxl</dc:creator>
  <dc:description/>
  <dc:language>en-US</dc:language>
  <cp:lastModifiedBy/>
  <dcterms:modified xsi:type="dcterms:W3CDTF">2026-10-29T17:14:43Z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